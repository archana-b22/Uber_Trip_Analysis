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ber_cleaned_data" sheetId="1" r:id="rId4"/>
    <sheet state="visible" name="Dahboard" sheetId="2" r:id="rId5"/>
  </sheets>
  <definedNames>
    <definedName hidden="1" localSheetId="0" name="Z_CA76CACB_BAA2_415E_9D46_FA572FB19DDD_.wvu.FilterData">uber_cleaned_data!$A$1:$G$355</definedName>
    <definedName name="SlicerCache_Table_1_Col_2">#N/A</definedName>
    <definedName name="SlicerCache_Table_1_Col_5">#N/A</definedName>
    <definedName name="SlicerCache_Table_1_Col_7">#N/A</definedName>
  </definedNames>
  <calcPr/>
  <customWorkbookViews>
    <customWorkbookView activeSheetId="0" maximized="1" windowHeight="0" windowWidth="0" guid="{CA76CACB-BAA2-415E-9D46-FA572FB19DDD}" name="Filter 1"/>
  </customWorkbookViews>
  <extLst>
    <ext uri="{46BE6895-7355-4a93-B00E-2C351335B9C9}">
      <x15:slicerCaches>
        <x14:slicerCache r:id="rId6"/>
        <x14:slicerCache r:id="rId7"/>
        <x14:slicerCache r:id="rId8"/>
      </x15:slicerCaches>
    </ext>
  </extLst>
</workbook>
</file>

<file path=xl/sharedStrings.xml><?xml version="1.0" encoding="utf-8"?>
<sst xmlns="http://schemas.openxmlformats.org/spreadsheetml/2006/main" count="736" uniqueCount="33">
  <si>
    <t>dispatching_base_number</t>
  </si>
  <si>
    <t>date</t>
  </si>
  <si>
    <t>active_vehicles</t>
  </si>
  <si>
    <t>trips</t>
  </si>
  <si>
    <t>month</t>
  </si>
  <si>
    <t>day</t>
  </si>
  <si>
    <t>weekday</t>
  </si>
  <si>
    <t>Month</t>
  </si>
  <si>
    <t>Total Trips</t>
  </si>
  <si>
    <t>Weekday</t>
  </si>
  <si>
    <t xml:space="preserve">Total Trips </t>
  </si>
  <si>
    <t>B02512</t>
  </si>
  <si>
    <t>Thursday</t>
  </si>
  <si>
    <t>Monday</t>
  </si>
  <si>
    <t>B02765</t>
  </si>
  <si>
    <t>Tuesday</t>
  </si>
  <si>
    <t>B02764</t>
  </si>
  <si>
    <t>Wednesday</t>
  </si>
  <si>
    <t>B02682</t>
  </si>
  <si>
    <t>B02617</t>
  </si>
  <si>
    <t>Friday</t>
  </si>
  <si>
    <t>B02598</t>
  </si>
  <si>
    <t>Saturday</t>
  </si>
  <si>
    <t>Sunday</t>
  </si>
  <si>
    <t>Uber Trip Analysis Dashboard</t>
  </si>
  <si>
    <t>Busiest day</t>
  </si>
  <si>
    <t>Trips on Busiest Day</t>
  </si>
  <si>
    <t>Least Busy Day</t>
  </si>
  <si>
    <t>Trips on Least Busy Day</t>
  </si>
  <si>
    <t>Busiest Weekday</t>
  </si>
  <si>
    <t>Trips on Busiest Weekday</t>
  </si>
  <si>
    <t>Least Busy Weekday</t>
  </si>
  <si>
    <t>Trips on Least Busy Weekday</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</si>
</sst>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6">
    <font>
      <sz val="10.0"/>
      <color rgb="FF000000"/>
      <name val="Arial"/>
      <scheme val="minor"/>
    </font>
    <font>
      <color theme="1"/>
      <name val="Arial"/>
      <scheme val="minor"/>
    </font>
    <font>
      <b/>
      <sz val="24.0"/>
      <color theme="1"/>
      <name val="Arial"/>
    </font>
    <font>
      <color theme="1"/>
      <name val="Arial"/>
    </font>
    <font>
      <b/>
      <sz val="12.0"/>
      <color theme="1"/>
      <name val="Arial"/>
      <scheme val="minor"/>
    </font>
    <font>
      <b/>
      <color theme="1"/>
      <name val="Arial"/>
      <scheme val="minor"/>
    </font>
  </fonts>
  <fills count="3">
    <fill>
      <patternFill patternType="none"/>
    </fill>
    <fill>
      <patternFill patternType="lightGray"/>
    </fill>
    <fill>
      <patternFill patternType="solid">
        <fgColor theme="4"/>
        <bgColor theme="4"/>
      </patternFill>
    </fill>
  </fills>
  <borders count="9">
    <border/>
    <border>
      <left style="thick">
        <color rgb="FF000000"/>
      </left>
      <right style="thick">
        <color rgb="FF000000"/>
      </right>
      <top style="thick">
        <color rgb="FF000000"/>
      </top>
      <bottom style="thin">
        <color rgb="FF000000"/>
      </bottom>
    </border>
    <border>
      <right style="thick">
        <color rgb="FF000000"/>
      </right>
      <top style="thick">
        <color rgb="FF000000"/>
      </top>
    </border>
    <border>
      <left style="thick">
        <color rgb="FF000000"/>
      </left>
      <right style="thick">
        <color rgb="FF000000"/>
      </right>
      <top style="thin">
        <color rgb="FF000000"/>
      </top>
      <bottom style="thick">
        <color rgb="FF000000"/>
      </bottom>
    </border>
    <border>
      <right style="thick">
        <color rgb="FF000000"/>
      </right>
      <bottom style="thick">
        <color rgb="FF000000"/>
      </bottom>
    </border>
    <border>
      <left style="thick">
        <color rgb="FF000000"/>
      </left>
      <top style="thick">
        <color rgb="FF000000"/>
      </top>
    </border>
    <border>
      <left style="thick">
        <color rgb="FF000000"/>
      </left>
      <bottom style="thick">
        <color rgb="FF000000"/>
      </bottom>
    </border>
    <border>
      <top style="thick">
        <color rgb="FF000000"/>
      </top>
    </border>
    <border>
      <bottom style="thick">
        <color rgb="FF000000"/>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0" xfId="0" applyFont="1"/>
    <xf borderId="0" fillId="0" fontId="2" numFmtId="0" xfId="0" applyAlignment="1" applyFont="1">
      <alignment vertical="bottom"/>
    </xf>
    <xf borderId="0" fillId="0" fontId="3" numFmtId="0" xfId="0" applyAlignment="1" applyFont="1">
      <alignment vertical="bottom"/>
    </xf>
    <xf borderId="1" fillId="2" fontId="4" numFmtId="0" xfId="0" applyAlignment="1" applyBorder="1" applyFill="1" applyFont="1">
      <alignment readingOrder="0"/>
    </xf>
    <xf borderId="1" fillId="2" fontId="4" numFmtId="0" xfId="0" applyAlignment="1" applyBorder="1" applyFont="1">
      <alignment horizontal="left" readingOrder="0"/>
    </xf>
    <xf borderId="2" fillId="2" fontId="5" numFmtId="0" xfId="0" applyBorder="1" applyFont="1"/>
    <xf borderId="3" fillId="2" fontId="1" numFmtId="0" xfId="0" applyBorder="1" applyFont="1"/>
    <xf borderId="3" fillId="2" fontId="1" numFmtId="164" xfId="0" applyBorder="1" applyFont="1" applyNumberFormat="1"/>
    <xf borderId="3" fillId="2" fontId="1" numFmtId="0" xfId="0" applyAlignment="1" applyBorder="1" applyFont="1">
      <alignment horizontal="left"/>
    </xf>
    <xf borderId="4" fillId="2" fontId="1" numFmtId="0" xfId="0" applyBorder="1" applyFont="1"/>
    <xf borderId="5" fillId="2" fontId="4" numFmtId="0" xfId="0" applyAlignment="1" applyBorder="1" applyFont="1">
      <alignment readingOrder="0"/>
    </xf>
    <xf borderId="2" fillId="2" fontId="4" numFmtId="0" xfId="0" applyBorder="1" applyFont="1"/>
    <xf borderId="6" fillId="2" fontId="1" numFmtId="164" xfId="0" applyBorder="1" applyFont="1" applyNumberFormat="1"/>
    <xf borderId="6" fillId="2" fontId="1" numFmtId="0" xfId="0" applyBorder="1" applyFont="1"/>
    <xf borderId="2" fillId="2" fontId="1" numFmtId="0" xfId="0" applyBorder="1" applyFont="1"/>
    <xf borderId="7" fillId="2" fontId="4" numFmtId="0" xfId="0" applyBorder="1" applyFont="1"/>
    <xf borderId="8" fillId="2" fontId="1" numFmtId="0" xfId="0" applyBorder="1" applyFon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microsoft.com/office/2007/relationships/slicerCache" Target="slicerCaches/slicerCache1.xml"/><Relationship Id="rId7" Type="http://schemas.microsoft.com/office/2007/relationships/slicerCache" Target="slicerCaches/slicerCache2.xml"/><Relationship Id="rId8" Type="http://schemas.microsoft.com/office/2007/relationships/slicerCache" Target="slicerCaches/slicerCache3.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Trips  Per Weekday</a:t>
            </a:r>
          </a:p>
        </c:rich>
      </c:tx>
      <c:overlay val="0"/>
    </c:title>
    <c:plotArea>
      <c:layout/>
      <c:barChart>
        <c:barDir val="bar"/>
        <c:ser>
          <c:idx val="0"/>
          <c:order val="0"/>
          <c:tx>
            <c:strRef>
              <c:f>uber_cleaned_data!$N$1</c:f>
            </c:strRef>
          </c:tx>
          <c:spPr>
            <a:solidFill>
              <a:schemeClr val="accent1"/>
            </a:solidFill>
            <a:ln cmpd="sng">
              <a:solidFill>
                <a:srgbClr val="000000"/>
              </a:solidFill>
            </a:ln>
          </c:spPr>
          <c:cat>
            <c:strRef>
              <c:f>uber_cleaned_data!$M$2:$M$8</c:f>
            </c:strRef>
          </c:cat>
          <c:val>
            <c:numRef>
              <c:f>uber_cleaned_data!$N$2:$N$8</c:f>
              <c:numCache/>
            </c:numRef>
          </c:val>
        </c:ser>
        <c:axId val="208997148"/>
        <c:axId val="383279238"/>
      </c:barChart>
      <c:catAx>
        <c:axId val="20899714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Weekday</a:t>
                </a:r>
              </a:p>
            </c:rich>
          </c:tx>
          <c:overlay val="0"/>
        </c:title>
        <c:numFmt formatCode="General" sourceLinked="1"/>
        <c:majorTickMark val="none"/>
        <c:minorTickMark val="none"/>
        <c:spPr/>
        <c:txPr>
          <a:bodyPr/>
          <a:lstStyle/>
          <a:p>
            <a:pPr lvl="0">
              <a:defRPr b="0">
                <a:solidFill>
                  <a:srgbClr val="000000"/>
                </a:solidFill>
                <a:latin typeface="+mn-lt"/>
              </a:defRPr>
            </a:pPr>
          </a:p>
        </c:txPr>
        <c:crossAx val="383279238"/>
      </c:catAx>
      <c:valAx>
        <c:axId val="38327923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Trips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8997148"/>
        <c:crosses val="max"/>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Percentage of Trips by Weekday</a:t>
            </a:r>
          </a:p>
        </c:rich>
      </c:tx>
      <c:overlay val="0"/>
    </c:title>
    <c:plotArea>
      <c:layout/>
      <c:pieChart>
        <c:varyColors val="1"/>
        <c:ser>
          <c:idx val="0"/>
          <c:order val="0"/>
          <c:tx>
            <c:strRef>
              <c:f>uber_cleaned_data!$N$1</c:f>
            </c:strRef>
          </c:tx>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Pt>
            <c:idx val="4"/>
            <c:spPr>
              <a:solidFill>
                <a:srgbClr val="FF6D01"/>
              </a:solidFill>
            </c:spPr>
          </c:dPt>
          <c:dPt>
            <c:idx val="5"/>
            <c:spPr>
              <a:solidFill>
                <a:srgbClr val="46BDC6"/>
              </a:solidFill>
            </c:spPr>
          </c:dPt>
          <c:dPt>
            <c:idx val="6"/>
            <c:spPr>
              <a:solidFill>
                <a:srgbClr val="7BAAF7"/>
              </a:solidFill>
            </c:spPr>
          </c:dPt>
          <c:dLbls>
            <c:showLegendKey val="0"/>
            <c:showVal val="0"/>
            <c:showCatName val="0"/>
            <c:showSerName val="0"/>
            <c:showPercent val="0"/>
            <c:showBubbleSize val="0"/>
            <c:showLeaderLines val="1"/>
          </c:dLbls>
          <c:cat>
            <c:strRef>
              <c:f>uber_cleaned_data!$M$2:$M$8</c:f>
            </c:strRef>
          </c:cat>
          <c:val>
            <c:numRef>
              <c:f>uber_cleaned_data!$N$2:$N$8</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"Uber Trips Over Time"</a:t>
            </a:r>
          </a:p>
        </c:rich>
      </c:tx>
      <c:layout>
        <c:manualLayout>
          <c:xMode val="edge"/>
          <c:yMode val="edge"/>
          <c:x val="0.06887905604719764"/>
          <c:y val="0.05000000000000001"/>
        </c:manualLayout>
      </c:layout>
      <c:overlay val="0"/>
    </c:title>
    <c:plotArea>
      <c:layout/>
      <c:lineChart>
        <c:varyColors val="0"/>
        <c:ser>
          <c:idx val="0"/>
          <c:order val="0"/>
          <c:tx>
            <c:strRef>
              <c:f>uber_cleaned_data!$D$1</c:f>
            </c:strRef>
          </c:tx>
          <c:spPr>
            <a:ln cmpd="sng" w="19050">
              <a:solidFill>
                <a:srgbClr val="4285F4"/>
              </a:solidFill>
            </a:ln>
          </c:spPr>
          <c:marker>
            <c:symbol val="none"/>
          </c:marker>
          <c:cat>
            <c:strRef>
              <c:f>uber_cleaned_data!$B$2:$B$1000</c:f>
            </c:strRef>
          </c:cat>
          <c:val>
            <c:numRef>
              <c:f>uber_cleaned_data!$D$2:$D$1000</c:f>
              <c:numCache/>
            </c:numRef>
          </c:val>
          <c:smooth val="1"/>
        </c:ser>
        <c:axId val="538654484"/>
        <c:axId val="1441300599"/>
      </c:lineChart>
      <c:catAx>
        <c:axId val="53865448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1441300599"/>
      </c:catAx>
      <c:valAx>
        <c:axId val="144130059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trips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38654484"/>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Trips Per Month</a:t>
            </a:r>
          </a:p>
        </c:rich>
      </c:tx>
      <c:overlay val="0"/>
    </c:title>
    <c:plotArea>
      <c:layout/>
      <c:barChart>
        <c:barDir val="col"/>
        <c:ser>
          <c:idx val="0"/>
          <c:order val="0"/>
          <c:tx>
            <c:strRef>
              <c:f>uber_cleaned_data!$K$1</c:f>
            </c:strRef>
          </c:tx>
          <c:spPr>
            <a:solidFill>
              <a:schemeClr val="accent1"/>
            </a:solidFill>
            <a:ln cmpd="sng">
              <a:solidFill>
                <a:srgbClr val="000000"/>
              </a:solidFill>
            </a:ln>
          </c:spPr>
          <c:cat>
            <c:strRef>
              <c:f>uber_cleaned_data!$J$2:$J$3</c:f>
            </c:strRef>
          </c:cat>
          <c:val>
            <c:numRef>
              <c:f>uber_cleaned_data!$K$2:$K$3</c:f>
              <c:numCache/>
            </c:numRef>
          </c:val>
        </c:ser>
        <c:axId val="1376926862"/>
        <c:axId val="798389158"/>
      </c:barChart>
      <c:catAx>
        <c:axId val="137692686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Month</a:t>
                </a:r>
              </a:p>
            </c:rich>
          </c:tx>
          <c:overlay val="0"/>
        </c:title>
        <c:numFmt formatCode="General" sourceLinked="1"/>
        <c:majorTickMark val="none"/>
        <c:minorTickMark val="none"/>
        <c:spPr/>
        <c:txPr>
          <a:bodyPr/>
          <a:lstStyle/>
          <a:p>
            <a:pPr lvl="0">
              <a:defRPr b="0">
                <a:solidFill>
                  <a:srgbClr val="000000"/>
                </a:solidFill>
                <a:latin typeface="+mn-lt"/>
              </a:defRPr>
            </a:pPr>
          </a:p>
        </c:txPr>
        <c:crossAx val="798389158"/>
      </c:catAx>
      <c:valAx>
        <c:axId val="79838915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Total Trips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76926862"/>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809625</xdr:colOff>
      <xdr:row>3</xdr:row>
      <xdr:rowOff>161925</xdr:rowOff>
    </xdr:from>
    <xdr:ext cx="2695575" cy="17526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133350</xdr:colOff>
      <xdr:row>3</xdr:row>
      <xdr:rowOff>161925</xdr:rowOff>
    </xdr:from>
    <xdr:ext cx="2447925" cy="175260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6</xdr:col>
      <xdr:colOff>133350</xdr:colOff>
      <xdr:row>12</xdr:row>
      <xdr:rowOff>76200</xdr:rowOff>
    </xdr:from>
    <xdr:ext cx="2447925" cy="1638300"/>
    <xdr:graphicFrame>
      <xdr:nvGraphicFramePr>
        <xdr:cNvPr id="3" name="Chart 3"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8</xdr:col>
      <xdr:colOff>809625</xdr:colOff>
      <xdr:row>12</xdr:row>
      <xdr:rowOff>76200</xdr:rowOff>
    </xdr:from>
    <xdr:ext cx="2743200" cy="163830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0</xdr:col>
      <xdr:colOff>876300</xdr:colOff>
      <xdr:row>1</xdr:row>
      <xdr:rowOff>57150</xdr:rowOff>
    </xdr:from>
    <xdr:ext cx="2857500" cy="2857500"/>
    <mc:AlternateContent>
      <mc:Choice Requires="sle15">
        <xdr:graphicFrame>
          <xdr:nvGraphicFramePr>
            <xdr:cNvPr id="1" name="date_1"/>
            <xdr:cNvGraphicFramePr/>
          </xdr:nvGraphicFramePr>
          <xdr:xfrm>
            <a:off x="0" y="0"/>
            <a:ext cx="0" cy="0"/>
          </xdr:xfrm>
          <a:graphic>
            <a:graphicData uri="http://schemas.microsoft.com/office/drawing/2010/slicer">
              <x3Unk:slicer name="date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5</xdr:col>
      <xdr:colOff>285750</xdr:colOff>
      <xdr:row>1</xdr:row>
      <xdr:rowOff>57150</xdr:rowOff>
    </xdr:from>
    <xdr:ext cx="2857500" cy="2857500"/>
    <mc:AlternateContent>
      <mc:Choice Requires="sle15">
        <xdr:graphicFrame>
          <xdr:nvGraphicFramePr>
            <xdr:cNvPr id="2" name="month_2"/>
            <xdr:cNvGraphicFramePr/>
          </xdr:nvGraphicFramePr>
          <xdr:xfrm>
            <a:off x="0" y="0"/>
            <a:ext cx="0" cy="0"/>
          </xdr:xfrm>
          <a:graphic>
            <a:graphicData uri="http://schemas.microsoft.com/office/drawing/2010/slicer">
              <x3Unk:slicer name="month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10</xdr:col>
      <xdr:colOff>390525</xdr:colOff>
      <xdr:row>1</xdr:row>
      <xdr:rowOff>57150</xdr:rowOff>
    </xdr:from>
    <xdr:ext cx="2857500" cy="2857500"/>
    <mc:AlternateContent>
      <mc:Choice Requires="sle15">
        <xdr:graphicFrame>
          <xdr:nvGraphicFramePr>
            <xdr:cNvPr id="3" name="weekday_3"/>
            <xdr:cNvGraphicFramePr/>
          </xdr:nvGraphicFramePr>
          <xdr:xfrm>
            <a:off x="0" y="0"/>
            <a:ext cx="0" cy="0"/>
          </xdr:xfrm>
          <a:graphic>
            <a:graphicData uri="http://schemas.microsoft.com/office/drawing/2010/slicer">
              <x3Unk:slicer name="weekday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2" sourceName="date">
  <x14:extLst>
    <ext uri="{2F2917AC-EB37-4324-AD4E-5DD8C200BD13}">
      <x15:tableSlicerCache tableId="1" column="2"/>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5" sourceName="month">
  <x14:extLst>
    <ext uri="{2F2917AC-EB37-4324-AD4E-5DD8C200BD13}">
      <x15:tableSlicerCache tableId="1" column="5"/>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7" sourceName="weekday">
  <x14:extLst>
    <ext uri="{2F2917AC-EB37-4324-AD4E-5DD8C200BD13}">
      <x15:tableSlicerCache tableId="1" column="7"/>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date_1" cache="SlicerCache_Table_1_Col_2" caption="date" rowHeight="247650"/>
  <x14:slicer name="month_2" cache="SlicerCache_Table_1_Col_5" caption="month" rowHeight="247650"/>
  <x14:slicer name="weekday_3" cache="SlicerCache_Table_1_Col_7" caption="weekday" rowHeight="247650"/>
</x14:slicers>
</file>

<file path=xl/tables/table1.xml><?xml version="1.0" encoding="utf-8"?>
<table xmlns="http://schemas.openxmlformats.org/spreadsheetml/2006/main" ref="A1:G355" displayName="Table_1" name="Table_1" id="1">
  <autoFilter ref="$A$1:$G$355"/>
  <tableColumns count="7">
    <tableColumn name="dispatching_base_number" id="1"/>
    <tableColumn name="date" id="2"/>
    <tableColumn name="active_vehicles" id="3"/>
    <tableColumn name="trips" id="4"/>
    <tableColumn name="month" id="5"/>
    <tableColumn name="day" id="6"/>
    <tableColumn name="weekday" id="7"/>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2"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J1" s="1" t="s">
        <v>7</v>
      </c>
      <c r="K1" s="1" t="s">
        <v>8</v>
      </c>
      <c r="M1" s="1" t="s">
        <v>9</v>
      </c>
      <c r="N1" s="1" t="s">
        <v>10</v>
      </c>
    </row>
    <row r="2">
      <c r="A2" s="1" t="s">
        <v>11</v>
      </c>
      <c r="B2" s="2">
        <v>42005.0</v>
      </c>
      <c r="C2" s="1">
        <v>190.0</v>
      </c>
      <c r="D2" s="1">
        <v>1132.0</v>
      </c>
      <c r="E2" s="1">
        <v>1.0</v>
      </c>
      <c r="F2" s="1">
        <v>1.0</v>
      </c>
      <c r="G2" s="1" t="s">
        <v>12</v>
      </c>
      <c r="J2" s="3">
        <f t="array" ref="J2:J4">UNIQUE(E2:E1000)</f>
        <v>1</v>
      </c>
      <c r="K2" s="3">
        <f t="shared" ref="K2:K3" si="1">SUMIF(E:E, J2, D:D)</f>
        <v>1908649</v>
      </c>
      <c r="M2" s="1" t="s">
        <v>13</v>
      </c>
      <c r="N2" s="3">
        <f t="shared" ref="N2:N8" si="2">SUMIF($G:$G, M2, $D:$D)</f>
        <v>463799</v>
      </c>
    </row>
    <row r="3">
      <c r="A3" s="1" t="s">
        <v>14</v>
      </c>
      <c r="B3" s="2">
        <v>42005.0</v>
      </c>
      <c r="C3" s="1">
        <v>225.0</v>
      </c>
      <c r="D3" s="1">
        <v>1765.0</v>
      </c>
      <c r="E3" s="1">
        <v>1.0</v>
      </c>
      <c r="F3" s="1">
        <v>1.0</v>
      </c>
      <c r="G3" s="1" t="s">
        <v>12</v>
      </c>
      <c r="J3" s="3">
        <v>2.0</v>
      </c>
      <c r="K3" s="3">
        <f t="shared" si="1"/>
        <v>2221581</v>
      </c>
      <c r="M3" s="1" t="s">
        <v>15</v>
      </c>
      <c r="N3" s="3">
        <f t="shared" si="2"/>
        <v>483061</v>
      </c>
    </row>
    <row r="4">
      <c r="A4" s="1" t="s">
        <v>16</v>
      </c>
      <c r="B4" s="2">
        <v>42005.0</v>
      </c>
      <c r="C4" s="1">
        <v>3427.0</v>
      </c>
      <c r="D4" s="1">
        <v>29421.0</v>
      </c>
      <c r="E4" s="1">
        <v>1.0</v>
      </c>
      <c r="F4" s="1">
        <v>1.0</v>
      </c>
      <c r="G4" s="1" t="s">
        <v>12</v>
      </c>
      <c r="J4" s="3"/>
      <c r="M4" s="1" t="s">
        <v>17</v>
      </c>
      <c r="N4" s="3">
        <f t="shared" si="2"/>
        <v>531263</v>
      </c>
    </row>
    <row r="5">
      <c r="A5" s="1" t="s">
        <v>18</v>
      </c>
      <c r="B5" s="2">
        <v>42005.0</v>
      </c>
      <c r="C5" s="1">
        <v>945.0</v>
      </c>
      <c r="D5" s="1">
        <v>7679.0</v>
      </c>
      <c r="E5" s="1">
        <v>1.0</v>
      </c>
      <c r="F5" s="1">
        <v>1.0</v>
      </c>
      <c r="G5" s="1" t="s">
        <v>12</v>
      </c>
      <c r="M5" s="1" t="s">
        <v>12</v>
      </c>
      <c r="N5" s="3">
        <f t="shared" si="2"/>
        <v>665647</v>
      </c>
    </row>
    <row r="6">
      <c r="A6" s="1" t="s">
        <v>19</v>
      </c>
      <c r="B6" s="2">
        <v>42005.0</v>
      </c>
      <c r="C6" s="1">
        <v>1228.0</v>
      </c>
      <c r="D6" s="1">
        <v>9537.0</v>
      </c>
      <c r="E6" s="1">
        <v>1.0</v>
      </c>
      <c r="F6" s="1">
        <v>1.0</v>
      </c>
      <c r="G6" s="1" t="s">
        <v>12</v>
      </c>
      <c r="M6" s="1" t="s">
        <v>20</v>
      </c>
      <c r="N6" s="3">
        <f t="shared" si="2"/>
        <v>711192</v>
      </c>
    </row>
    <row r="7">
      <c r="A7" s="1" t="s">
        <v>21</v>
      </c>
      <c r="B7" s="2">
        <v>42005.0</v>
      </c>
      <c r="C7" s="1">
        <v>870.0</v>
      </c>
      <c r="D7" s="1">
        <v>6903.0</v>
      </c>
      <c r="E7" s="1">
        <v>1.0</v>
      </c>
      <c r="F7" s="1">
        <v>1.0</v>
      </c>
      <c r="G7" s="1" t="s">
        <v>12</v>
      </c>
      <c r="M7" s="1" t="s">
        <v>22</v>
      </c>
      <c r="N7" s="3">
        <f t="shared" si="2"/>
        <v>751325</v>
      </c>
    </row>
    <row r="8">
      <c r="A8" s="1" t="s">
        <v>21</v>
      </c>
      <c r="B8" s="2">
        <v>42006.0</v>
      </c>
      <c r="C8" s="1">
        <v>785.0</v>
      </c>
      <c r="D8" s="1">
        <v>4768.0</v>
      </c>
      <c r="E8" s="1">
        <v>1.0</v>
      </c>
      <c r="F8" s="1">
        <v>2.0</v>
      </c>
      <c r="G8" s="1" t="s">
        <v>20</v>
      </c>
      <c r="M8" s="1" t="s">
        <v>23</v>
      </c>
      <c r="N8" s="3">
        <f t="shared" si="2"/>
        <v>523943</v>
      </c>
    </row>
    <row r="9">
      <c r="A9" s="1" t="s">
        <v>19</v>
      </c>
      <c r="B9" s="2">
        <v>42006.0</v>
      </c>
      <c r="C9" s="1">
        <v>1137.0</v>
      </c>
      <c r="D9" s="1">
        <v>7065.0</v>
      </c>
      <c r="E9" s="1">
        <v>1.0</v>
      </c>
      <c r="F9" s="1">
        <v>2.0</v>
      </c>
      <c r="G9" s="1" t="s">
        <v>20</v>
      </c>
    </row>
    <row r="10">
      <c r="A10" s="1" t="s">
        <v>11</v>
      </c>
      <c r="B10" s="2">
        <v>42006.0</v>
      </c>
      <c r="C10" s="1">
        <v>175.0</v>
      </c>
      <c r="D10" s="1">
        <v>875.0</v>
      </c>
      <c r="E10" s="1">
        <v>1.0</v>
      </c>
      <c r="F10" s="1">
        <v>2.0</v>
      </c>
      <c r="G10" s="1" t="s">
        <v>20</v>
      </c>
    </row>
    <row r="11">
      <c r="A11" s="1" t="s">
        <v>18</v>
      </c>
      <c r="B11" s="2">
        <v>42006.0</v>
      </c>
      <c r="C11" s="1">
        <v>890.0</v>
      </c>
      <c r="D11" s="1">
        <v>5506.0</v>
      </c>
      <c r="E11" s="1">
        <v>1.0</v>
      </c>
      <c r="F11" s="1">
        <v>2.0</v>
      </c>
      <c r="G11" s="1" t="s">
        <v>20</v>
      </c>
    </row>
    <row r="12">
      <c r="A12" s="1" t="s">
        <v>14</v>
      </c>
      <c r="B12" s="2">
        <v>42006.0</v>
      </c>
      <c r="C12" s="1">
        <v>196.0</v>
      </c>
      <c r="D12" s="1">
        <v>1001.0</v>
      </c>
      <c r="E12" s="1">
        <v>1.0</v>
      </c>
      <c r="F12" s="1">
        <v>2.0</v>
      </c>
      <c r="G12" s="1" t="s">
        <v>20</v>
      </c>
    </row>
    <row r="13">
      <c r="A13" s="1" t="s">
        <v>16</v>
      </c>
      <c r="B13" s="2">
        <v>42006.0</v>
      </c>
      <c r="C13" s="1">
        <v>3147.0</v>
      </c>
      <c r="D13" s="1">
        <v>19974.0</v>
      </c>
      <c r="E13" s="1">
        <v>1.0</v>
      </c>
      <c r="F13" s="1">
        <v>2.0</v>
      </c>
      <c r="G13" s="1" t="s">
        <v>20</v>
      </c>
    </row>
    <row r="14">
      <c r="A14" s="1" t="s">
        <v>14</v>
      </c>
      <c r="B14" s="2">
        <v>42007.0</v>
      </c>
      <c r="C14" s="1">
        <v>201.0</v>
      </c>
      <c r="D14" s="1">
        <v>1526.0</v>
      </c>
      <c r="E14" s="1">
        <v>1.0</v>
      </c>
      <c r="F14" s="1">
        <v>3.0</v>
      </c>
      <c r="G14" s="1" t="s">
        <v>22</v>
      </c>
    </row>
    <row r="15">
      <c r="A15" s="1" t="s">
        <v>19</v>
      </c>
      <c r="B15" s="2">
        <v>42007.0</v>
      </c>
      <c r="C15" s="1">
        <v>1188.0</v>
      </c>
      <c r="D15" s="1">
        <v>10664.0</v>
      </c>
      <c r="E15" s="1">
        <v>1.0</v>
      </c>
      <c r="F15" s="1">
        <v>3.0</v>
      </c>
      <c r="G15" s="1" t="s">
        <v>22</v>
      </c>
    </row>
    <row r="16">
      <c r="A16" s="1" t="s">
        <v>21</v>
      </c>
      <c r="B16" s="2">
        <v>42007.0</v>
      </c>
      <c r="C16" s="1">
        <v>818.0</v>
      </c>
      <c r="D16" s="1">
        <v>7432.0</v>
      </c>
      <c r="E16" s="1">
        <v>1.0</v>
      </c>
      <c r="F16" s="1">
        <v>3.0</v>
      </c>
      <c r="G16" s="1" t="s">
        <v>22</v>
      </c>
    </row>
    <row r="17">
      <c r="A17" s="1" t="s">
        <v>18</v>
      </c>
      <c r="B17" s="2">
        <v>42007.0</v>
      </c>
      <c r="C17" s="1">
        <v>915.0</v>
      </c>
      <c r="D17" s="1">
        <v>8010.0</v>
      </c>
      <c r="E17" s="1">
        <v>1.0</v>
      </c>
      <c r="F17" s="1">
        <v>3.0</v>
      </c>
      <c r="G17" s="1" t="s">
        <v>22</v>
      </c>
    </row>
    <row r="18">
      <c r="A18" s="1" t="s">
        <v>11</v>
      </c>
      <c r="B18" s="2">
        <v>42007.0</v>
      </c>
      <c r="C18" s="1">
        <v>173.0</v>
      </c>
      <c r="D18" s="1">
        <v>1088.0</v>
      </c>
      <c r="E18" s="1">
        <v>1.0</v>
      </c>
      <c r="F18" s="1">
        <v>3.0</v>
      </c>
      <c r="G18" s="1" t="s">
        <v>22</v>
      </c>
    </row>
    <row r="19">
      <c r="A19" s="1" t="s">
        <v>16</v>
      </c>
      <c r="B19" s="2">
        <v>42007.0</v>
      </c>
      <c r="C19" s="1">
        <v>3215.0</v>
      </c>
      <c r="D19" s="1">
        <v>29729.0</v>
      </c>
      <c r="E19" s="1">
        <v>1.0</v>
      </c>
      <c r="F19" s="1">
        <v>3.0</v>
      </c>
      <c r="G19" s="1" t="s">
        <v>22</v>
      </c>
    </row>
    <row r="20">
      <c r="A20" s="1" t="s">
        <v>11</v>
      </c>
      <c r="B20" s="2">
        <v>42008.0</v>
      </c>
      <c r="C20" s="1">
        <v>147.0</v>
      </c>
      <c r="D20" s="1">
        <v>791.0</v>
      </c>
      <c r="E20" s="1">
        <v>1.0</v>
      </c>
      <c r="F20" s="1">
        <v>4.0</v>
      </c>
      <c r="G20" s="1" t="s">
        <v>23</v>
      </c>
    </row>
    <row r="21">
      <c r="A21" s="1" t="s">
        <v>18</v>
      </c>
      <c r="B21" s="2">
        <v>42008.0</v>
      </c>
      <c r="C21" s="1">
        <v>812.0</v>
      </c>
      <c r="D21" s="1">
        <v>5621.0</v>
      </c>
      <c r="E21" s="1">
        <v>1.0</v>
      </c>
      <c r="F21" s="1">
        <v>4.0</v>
      </c>
      <c r="G21" s="1" t="s">
        <v>23</v>
      </c>
    </row>
    <row r="22">
      <c r="A22" s="1" t="s">
        <v>21</v>
      </c>
      <c r="B22" s="2">
        <v>42008.0</v>
      </c>
      <c r="C22" s="1">
        <v>746.0</v>
      </c>
      <c r="D22" s="1">
        <v>5223.0</v>
      </c>
      <c r="E22" s="1">
        <v>1.0</v>
      </c>
      <c r="F22" s="1">
        <v>4.0</v>
      </c>
      <c r="G22" s="1" t="s">
        <v>23</v>
      </c>
    </row>
    <row r="23">
      <c r="A23" s="1" t="s">
        <v>14</v>
      </c>
      <c r="B23" s="2">
        <v>42008.0</v>
      </c>
      <c r="C23" s="1">
        <v>183.0</v>
      </c>
      <c r="D23" s="1">
        <v>993.0</v>
      </c>
      <c r="E23" s="1">
        <v>1.0</v>
      </c>
      <c r="F23" s="1">
        <v>4.0</v>
      </c>
      <c r="G23" s="1" t="s">
        <v>23</v>
      </c>
    </row>
    <row r="24">
      <c r="A24" s="1" t="s">
        <v>19</v>
      </c>
      <c r="B24" s="2">
        <v>42008.0</v>
      </c>
      <c r="C24" s="1">
        <v>1088.0</v>
      </c>
      <c r="D24" s="1">
        <v>7729.0</v>
      </c>
      <c r="E24" s="1">
        <v>1.0</v>
      </c>
      <c r="F24" s="1">
        <v>4.0</v>
      </c>
      <c r="G24" s="1" t="s">
        <v>23</v>
      </c>
    </row>
    <row r="25">
      <c r="A25" s="1" t="s">
        <v>16</v>
      </c>
      <c r="B25" s="2">
        <v>42008.0</v>
      </c>
      <c r="C25" s="1">
        <v>2862.0</v>
      </c>
      <c r="D25" s="1">
        <v>20441.0</v>
      </c>
      <c r="E25" s="1">
        <v>1.0</v>
      </c>
      <c r="F25" s="1">
        <v>4.0</v>
      </c>
      <c r="G25" s="1" t="s">
        <v>23</v>
      </c>
    </row>
    <row r="26">
      <c r="A26" s="1" t="s">
        <v>11</v>
      </c>
      <c r="B26" s="2">
        <v>42009.0</v>
      </c>
      <c r="C26" s="1">
        <v>194.0</v>
      </c>
      <c r="D26" s="1">
        <v>984.0</v>
      </c>
      <c r="E26" s="1">
        <v>1.0</v>
      </c>
      <c r="F26" s="1">
        <v>5.0</v>
      </c>
      <c r="G26" s="1" t="s">
        <v>13</v>
      </c>
    </row>
    <row r="27">
      <c r="A27" s="1" t="s">
        <v>18</v>
      </c>
      <c r="B27" s="2">
        <v>42009.0</v>
      </c>
      <c r="C27" s="1">
        <v>951.0</v>
      </c>
      <c r="D27" s="1">
        <v>6012.0</v>
      </c>
      <c r="E27" s="1">
        <v>1.0</v>
      </c>
      <c r="F27" s="1">
        <v>5.0</v>
      </c>
      <c r="G27" s="1" t="s">
        <v>13</v>
      </c>
    </row>
    <row r="28">
      <c r="A28" s="1" t="s">
        <v>19</v>
      </c>
      <c r="B28" s="2">
        <v>42009.0</v>
      </c>
      <c r="C28" s="1">
        <v>1218.0</v>
      </c>
      <c r="D28" s="1">
        <v>7899.0</v>
      </c>
      <c r="E28" s="1">
        <v>1.0</v>
      </c>
      <c r="F28" s="1">
        <v>5.0</v>
      </c>
      <c r="G28" s="1" t="s">
        <v>13</v>
      </c>
    </row>
    <row r="29">
      <c r="A29" s="1" t="s">
        <v>16</v>
      </c>
      <c r="B29" s="2">
        <v>42009.0</v>
      </c>
      <c r="C29" s="1">
        <v>3387.0</v>
      </c>
      <c r="D29" s="1">
        <v>20926.0</v>
      </c>
      <c r="E29" s="1">
        <v>1.0</v>
      </c>
      <c r="F29" s="1">
        <v>5.0</v>
      </c>
      <c r="G29" s="1" t="s">
        <v>13</v>
      </c>
    </row>
    <row r="30">
      <c r="A30" s="1" t="s">
        <v>21</v>
      </c>
      <c r="B30" s="2">
        <v>42009.0</v>
      </c>
      <c r="C30" s="1">
        <v>907.0</v>
      </c>
      <c r="D30" s="1">
        <v>5798.0</v>
      </c>
      <c r="E30" s="1">
        <v>1.0</v>
      </c>
      <c r="F30" s="1">
        <v>5.0</v>
      </c>
      <c r="G30" s="1" t="s">
        <v>13</v>
      </c>
    </row>
    <row r="31">
      <c r="A31" s="1" t="s">
        <v>14</v>
      </c>
      <c r="B31" s="2">
        <v>42009.0</v>
      </c>
      <c r="C31" s="1">
        <v>227.0</v>
      </c>
      <c r="D31" s="1">
        <v>1133.0</v>
      </c>
      <c r="E31" s="1">
        <v>1.0</v>
      </c>
      <c r="F31" s="1">
        <v>5.0</v>
      </c>
      <c r="G31" s="1" t="s">
        <v>13</v>
      </c>
    </row>
    <row r="32">
      <c r="A32" s="1" t="s">
        <v>16</v>
      </c>
      <c r="B32" s="2">
        <v>42010.0</v>
      </c>
      <c r="C32" s="1">
        <v>3473.0</v>
      </c>
      <c r="D32" s="1">
        <v>25301.0</v>
      </c>
      <c r="E32" s="1">
        <v>1.0</v>
      </c>
      <c r="F32" s="1">
        <v>6.0</v>
      </c>
      <c r="G32" s="1" t="s">
        <v>15</v>
      </c>
    </row>
    <row r="33">
      <c r="A33" s="1" t="s">
        <v>18</v>
      </c>
      <c r="B33" s="2">
        <v>42010.0</v>
      </c>
      <c r="C33" s="1">
        <v>1022.0</v>
      </c>
      <c r="D33" s="1">
        <v>7491.0</v>
      </c>
      <c r="E33" s="1">
        <v>1.0</v>
      </c>
      <c r="F33" s="1">
        <v>6.0</v>
      </c>
      <c r="G33" s="1" t="s">
        <v>15</v>
      </c>
    </row>
    <row r="34">
      <c r="A34" s="1" t="s">
        <v>19</v>
      </c>
      <c r="B34" s="2">
        <v>42010.0</v>
      </c>
      <c r="C34" s="1">
        <v>1336.0</v>
      </c>
      <c r="D34" s="1">
        <v>10128.0</v>
      </c>
      <c r="E34" s="1">
        <v>1.0</v>
      </c>
      <c r="F34" s="1">
        <v>6.0</v>
      </c>
      <c r="G34" s="1" t="s">
        <v>15</v>
      </c>
    </row>
    <row r="35">
      <c r="A35" s="1" t="s">
        <v>14</v>
      </c>
      <c r="B35" s="2">
        <v>42010.0</v>
      </c>
      <c r="C35" s="1">
        <v>234.0</v>
      </c>
      <c r="D35" s="1">
        <v>1376.0</v>
      </c>
      <c r="E35" s="1">
        <v>1.0</v>
      </c>
      <c r="F35" s="1">
        <v>6.0</v>
      </c>
      <c r="G35" s="1" t="s">
        <v>15</v>
      </c>
    </row>
    <row r="36">
      <c r="A36" s="1" t="s">
        <v>11</v>
      </c>
      <c r="B36" s="2">
        <v>42010.0</v>
      </c>
      <c r="C36" s="1">
        <v>218.0</v>
      </c>
      <c r="D36" s="1">
        <v>1314.0</v>
      </c>
      <c r="E36" s="1">
        <v>1.0</v>
      </c>
      <c r="F36" s="1">
        <v>6.0</v>
      </c>
      <c r="G36" s="1" t="s">
        <v>15</v>
      </c>
    </row>
    <row r="37">
      <c r="A37" s="1" t="s">
        <v>21</v>
      </c>
      <c r="B37" s="2">
        <v>42010.0</v>
      </c>
      <c r="C37" s="1">
        <v>933.0</v>
      </c>
      <c r="D37" s="1">
        <v>6816.0</v>
      </c>
      <c r="E37" s="1">
        <v>1.0</v>
      </c>
      <c r="F37" s="1">
        <v>6.0</v>
      </c>
      <c r="G37" s="1" t="s">
        <v>15</v>
      </c>
    </row>
    <row r="38">
      <c r="A38" s="1" t="s">
        <v>19</v>
      </c>
      <c r="B38" s="2">
        <v>42011.0</v>
      </c>
      <c r="C38" s="1">
        <v>1363.0</v>
      </c>
      <c r="D38" s="1">
        <v>11528.0</v>
      </c>
      <c r="E38" s="1">
        <v>1.0</v>
      </c>
      <c r="F38" s="1">
        <v>7.0</v>
      </c>
      <c r="G38" s="1" t="s">
        <v>17</v>
      </c>
    </row>
    <row r="39">
      <c r="A39" s="1" t="s">
        <v>18</v>
      </c>
      <c r="B39" s="2">
        <v>42011.0</v>
      </c>
      <c r="C39" s="1">
        <v>1039.0</v>
      </c>
      <c r="D39" s="1">
        <v>9078.0</v>
      </c>
      <c r="E39" s="1">
        <v>1.0</v>
      </c>
      <c r="F39" s="1">
        <v>7.0</v>
      </c>
      <c r="G39" s="1" t="s">
        <v>17</v>
      </c>
    </row>
    <row r="40">
      <c r="A40" s="1" t="s">
        <v>16</v>
      </c>
      <c r="B40" s="2">
        <v>42011.0</v>
      </c>
      <c r="C40" s="1">
        <v>3603.0</v>
      </c>
      <c r="D40" s="1">
        <v>29949.0</v>
      </c>
      <c r="E40" s="1">
        <v>1.0</v>
      </c>
      <c r="F40" s="1">
        <v>7.0</v>
      </c>
      <c r="G40" s="1" t="s">
        <v>17</v>
      </c>
    </row>
    <row r="41">
      <c r="A41" s="1" t="s">
        <v>14</v>
      </c>
      <c r="B41" s="2">
        <v>42011.0</v>
      </c>
      <c r="C41" s="1">
        <v>248.0</v>
      </c>
      <c r="D41" s="1">
        <v>1704.0</v>
      </c>
      <c r="E41" s="1">
        <v>1.0</v>
      </c>
      <c r="F41" s="1">
        <v>7.0</v>
      </c>
      <c r="G41" s="1" t="s">
        <v>17</v>
      </c>
    </row>
    <row r="42">
      <c r="A42" s="1" t="s">
        <v>11</v>
      </c>
      <c r="B42" s="2">
        <v>42011.0</v>
      </c>
      <c r="C42" s="1">
        <v>217.0</v>
      </c>
      <c r="D42" s="1">
        <v>1446.0</v>
      </c>
      <c r="E42" s="1">
        <v>1.0</v>
      </c>
      <c r="F42" s="1">
        <v>7.0</v>
      </c>
      <c r="G42" s="1" t="s">
        <v>17</v>
      </c>
    </row>
    <row r="43">
      <c r="A43" s="1" t="s">
        <v>21</v>
      </c>
      <c r="B43" s="2">
        <v>42011.0</v>
      </c>
      <c r="C43" s="1">
        <v>974.0</v>
      </c>
      <c r="D43" s="1">
        <v>8397.0</v>
      </c>
      <c r="E43" s="1">
        <v>1.0</v>
      </c>
      <c r="F43" s="1">
        <v>7.0</v>
      </c>
      <c r="G43" s="1" t="s">
        <v>17</v>
      </c>
    </row>
    <row r="44">
      <c r="A44" s="1" t="s">
        <v>14</v>
      </c>
      <c r="B44" s="2">
        <v>42012.0</v>
      </c>
      <c r="C44" s="1">
        <v>262.0</v>
      </c>
      <c r="D44" s="1">
        <v>1911.0</v>
      </c>
      <c r="E44" s="1">
        <v>1.0</v>
      </c>
      <c r="F44" s="1">
        <v>8.0</v>
      </c>
      <c r="G44" s="1" t="s">
        <v>12</v>
      </c>
    </row>
    <row r="45">
      <c r="A45" s="1" t="s">
        <v>21</v>
      </c>
      <c r="B45" s="2">
        <v>42012.0</v>
      </c>
      <c r="C45" s="1">
        <v>1070.0</v>
      </c>
      <c r="D45" s="1">
        <v>10050.0</v>
      </c>
      <c r="E45" s="1">
        <v>1.0</v>
      </c>
      <c r="F45" s="1">
        <v>8.0</v>
      </c>
      <c r="G45" s="1" t="s">
        <v>12</v>
      </c>
    </row>
    <row r="46">
      <c r="A46" s="1" t="s">
        <v>11</v>
      </c>
      <c r="B46" s="2">
        <v>42012.0</v>
      </c>
      <c r="C46" s="1">
        <v>238.0</v>
      </c>
      <c r="D46" s="1">
        <v>1772.0</v>
      </c>
      <c r="E46" s="1">
        <v>1.0</v>
      </c>
      <c r="F46" s="1">
        <v>8.0</v>
      </c>
      <c r="G46" s="1" t="s">
        <v>12</v>
      </c>
    </row>
    <row r="47">
      <c r="A47" s="1" t="s">
        <v>18</v>
      </c>
      <c r="B47" s="2">
        <v>42012.0</v>
      </c>
      <c r="C47" s="1">
        <v>1135.0</v>
      </c>
      <c r="D47" s="1">
        <v>10416.0</v>
      </c>
      <c r="E47" s="1">
        <v>1.0</v>
      </c>
      <c r="F47" s="1">
        <v>8.0</v>
      </c>
      <c r="G47" s="1" t="s">
        <v>12</v>
      </c>
    </row>
    <row r="48">
      <c r="A48" s="1" t="s">
        <v>16</v>
      </c>
      <c r="B48" s="2">
        <v>42012.0</v>
      </c>
      <c r="C48" s="1">
        <v>3831.0</v>
      </c>
      <c r="D48" s="1">
        <v>33802.0</v>
      </c>
      <c r="E48" s="1">
        <v>1.0</v>
      </c>
      <c r="F48" s="1">
        <v>8.0</v>
      </c>
      <c r="G48" s="1" t="s">
        <v>12</v>
      </c>
    </row>
    <row r="49">
      <c r="A49" s="1" t="s">
        <v>19</v>
      </c>
      <c r="B49" s="2">
        <v>42012.0</v>
      </c>
      <c r="C49" s="1">
        <v>1463.0</v>
      </c>
      <c r="D49" s="1">
        <v>13462.0</v>
      </c>
      <c r="E49" s="1">
        <v>1.0</v>
      </c>
      <c r="F49" s="1">
        <v>8.0</v>
      </c>
      <c r="G49" s="1" t="s">
        <v>12</v>
      </c>
    </row>
    <row r="50">
      <c r="A50" s="1" t="s">
        <v>19</v>
      </c>
      <c r="B50" s="2">
        <v>42013.0</v>
      </c>
      <c r="C50" s="1">
        <v>1455.0</v>
      </c>
      <c r="D50" s="1">
        <v>13165.0</v>
      </c>
      <c r="E50" s="1">
        <v>1.0</v>
      </c>
      <c r="F50" s="1">
        <v>9.0</v>
      </c>
      <c r="G50" s="1" t="s">
        <v>20</v>
      </c>
    </row>
    <row r="51">
      <c r="A51" s="1" t="s">
        <v>11</v>
      </c>
      <c r="B51" s="2">
        <v>42013.0</v>
      </c>
      <c r="C51" s="1">
        <v>224.0</v>
      </c>
      <c r="D51" s="1">
        <v>1560.0</v>
      </c>
      <c r="E51" s="1">
        <v>1.0</v>
      </c>
      <c r="F51" s="1">
        <v>9.0</v>
      </c>
      <c r="G51" s="1" t="s">
        <v>20</v>
      </c>
    </row>
    <row r="52">
      <c r="A52" s="1" t="s">
        <v>16</v>
      </c>
      <c r="B52" s="2">
        <v>42013.0</v>
      </c>
      <c r="C52" s="1">
        <v>3820.0</v>
      </c>
      <c r="D52" s="1">
        <v>33517.0</v>
      </c>
      <c r="E52" s="1">
        <v>1.0</v>
      </c>
      <c r="F52" s="1">
        <v>9.0</v>
      </c>
      <c r="G52" s="1" t="s">
        <v>20</v>
      </c>
    </row>
    <row r="53">
      <c r="A53" s="1" t="s">
        <v>18</v>
      </c>
      <c r="B53" s="2">
        <v>42013.0</v>
      </c>
      <c r="C53" s="1">
        <v>1140.0</v>
      </c>
      <c r="D53" s="1">
        <v>10477.0</v>
      </c>
      <c r="E53" s="1">
        <v>1.0</v>
      </c>
      <c r="F53" s="1">
        <v>9.0</v>
      </c>
      <c r="G53" s="1" t="s">
        <v>20</v>
      </c>
    </row>
    <row r="54">
      <c r="A54" s="1" t="s">
        <v>21</v>
      </c>
      <c r="B54" s="2">
        <v>42013.0</v>
      </c>
      <c r="C54" s="1">
        <v>1070.0</v>
      </c>
      <c r="D54" s="1">
        <v>9538.0</v>
      </c>
      <c r="E54" s="1">
        <v>1.0</v>
      </c>
      <c r="F54" s="1">
        <v>9.0</v>
      </c>
      <c r="G54" s="1" t="s">
        <v>20</v>
      </c>
    </row>
    <row r="55">
      <c r="A55" s="1" t="s">
        <v>14</v>
      </c>
      <c r="B55" s="2">
        <v>42013.0</v>
      </c>
      <c r="C55" s="1">
        <v>280.0</v>
      </c>
      <c r="D55" s="1">
        <v>2039.0</v>
      </c>
      <c r="E55" s="1">
        <v>1.0</v>
      </c>
      <c r="F55" s="1">
        <v>9.0</v>
      </c>
      <c r="G55" s="1" t="s">
        <v>20</v>
      </c>
    </row>
    <row r="56">
      <c r="A56" s="1" t="s">
        <v>18</v>
      </c>
      <c r="B56" s="2">
        <v>42014.0</v>
      </c>
      <c r="C56" s="1">
        <v>1057.0</v>
      </c>
      <c r="D56" s="1">
        <v>11629.0</v>
      </c>
      <c r="E56" s="1">
        <v>1.0</v>
      </c>
      <c r="F56" s="1">
        <v>10.0</v>
      </c>
      <c r="G56" s="1" t="s">
        <v>22</v>
      </c>
    </row>
    <row r="57">
      <c r="A57" s="1" t="s">
        <v>19</v>
      </c>
      <c r="B57" s="2">
        <v>42014.0</v>
      </c>
      <c r="C57" s="1">
        <v>1331.0</v>
      </c>
      <c r="D57" s="1">
        <v>13856.0</v>
      </c>
      <c r="E57" s="1">
        <v>1.0</v>
      </c>
      <c r="F57" s="1">
        <v>10.0</v>
      </c>
      <c r="G57" s="1" t="s">
        <v>22</v>
      </c>
    </row>
    <row r="58">
      <c r="A58" s="1" t="s">
        <v>21</v>
      </c>
      <c r="B58" s="2">
        <v>42014.0</v>
      </c>
      <c r="C58" s="1">
        <v>949.0</v>
      </c>
      <c r="D58" s="1">
        <v>10287.0</v>
      </c>
      <c r="E58" s="1">
        <v>1.0</v>
      </c>
      <c r="F58" s="1">
        <v>10.0</v>
      </c>
      <c r="G58" s="1" t="s">
        <v>22</v>
      </c>
    </row>
    <row r="59">
      <c r="A59" s="1" t="s">
        <v>11</v>
      </c>
      <c r="B59" s="2">
        <v>42014.0</v>
      </c>
      <c r="C59" s="1">
        <v>206.0</v>
      </c>
      <c r="D59" s="1">
        <v>1646.0</v>
      </c>
      <c r="E59" s="1">
        <v>1.0</v>
      </c>
      <c r="F59" s="1">
        <v>10.0</v>
      </c>
      <c r="G59" s="1" t="s">
        <v>22</v>
      </c>
    </row>
    <row r="60">
      <c r="A60" s="1" t="s">
        <v>16</v>
      </c>
      <c r="B60" s="2">
        <v>42014.0</v>
      </c>
      <c r="C60" s="1">
        <v>3558.0</v>
      </c>
      <c r="D60" s="1">
        <v>38864.0</v>
      </c>
      <c r="E60" s="1">
        <v>1.0</v>
      </c>
      <c r="F60" s="1">
        <v>10.0</v>
      </c>
      <c r="G60" s="1" t="s">
        <v>22</v>
      </c>
    </row>
    <row r="61">
      <c r="A61" s="1" t="s">
        <v>14</v>
      </c>
      <c r="B61" s="2">
        <v>42014.0</v>
      </c>
      <c r="C61" s="1">
        <v>245.0</v>
      </c>
      <c r="D61" s="1">
        <v>2202.0</v>
      </c>
      <c r="E61" s="1">
        <v>1.0</v>
      </c>
      <c r="F61" s="1">
        <v>10.0</v>
      </c>
      <c r="G61" s="1" t="s">
        <v>22</v>
      </c>
    </row>
    <row r="62">
      <c r="A62" s="1" t="s">
        <v>14</v>
      </c>
      <c r="B62" s="2">
        <v>42015.0</v>
      </c>
      <c r="C62" s="1">
        <v>220.0</v>
      </c>
      <c r="D62" s="1">
        <v>1672.0</v>
      </c>
      <c r="E62" s="1">
        <v>1.0</v>
      </c>
      <c r="F62" s="1">
        <v>11.0</v>
      </c>
      <c r="G62" s="1" t="s">
        <v>23</v>
      </c>
    </row>
    <row r="63">
      <c r="A63" s="1" t="s">
        <v>21</v>
      </c>
      <c r="B63" s="2">
        <v>42015.0</v>
      </c>
      <c r="C63" s="1">
        <v>832.0</v>
      </c>
      <c r="D63" s="1">
        <v>7176.0</v>
      </c>
      <c r="E63" s="1">
        <v>1.0</v>
      </c>
      <c r="F63" s="1">
        <v>11.0</v>
      </c>
      <c r="G63" s="1" t="s">
        <v>23</v>
      </c>
    </row>
    <row r="64">
      <c r="A64" s="1" t="s">
        <v>18</v>
      </c>
      <c r="B64" s="2">
        <v>42015.0</v>
      </c>
      <c r="C64" s="1">
        <v>943.0</v>
      </c>
      <c r="D64" s="1">
        <v>8461.0</v>
      </c>
      <c r="E64" s="1">
        <v>1.0</v>
      </c>
      <c r="F64" s="1">
        <v>11.0</v>
      </c>
      <c r="G64" s="1" t="s">
        <v>23</v>
      </c>
    </row>
    <row r="65">
      <c r="A65" s="1" t="s">
        <v>16</v>
      </c>
      <c r="B65" s="2">
        <v>42015.0</v>
      </c>
      <c r="C65" s="1">
        <v>3186.0</v>
      </c>
      <c r="D65" s="1">
        <v>27681.0</v>
      </c>
      <c r="E65" s="1">
        <v>1.0</v>
      </c>
      <c r="F65" s="1">
        <v>11.0</v>
      </c>
      <c r="G65" s="1" t="s">
        <v>23</v>
      </c>
    </row>
    <row r="66">
      <c r="A66" s="1" t="s">
        <v>19</v>
      </c>
      <c r="B66" s="2">
        <v>42015.0</v>
      </c>
      <c r="C66" s="1">
        <v>1228.0</v>
      </c>
      <c r="D66" s="1">
        <v>10932.0</v>
      </c>
      <c r="E66" s="1">
        <v>1.0</v>
      </c>
      <c r="F66" s="1">
        <v>11.0</v>
      </c>
      <c r="G66" s="1" t="s">
        <v>23</v>
      </c>
    </row>
    <row r="67">
      <c r="A67" s="1" t="s">
        <v>11</v>
      </c>
      <c r="B67" s="2">
        <v>42015.0</v>
      </c>
      <c r="C67" s="1">
        <v>162.0</v>
      </c>
      <c r="D67" s="1">
        <v>1104.0</v>
      </c>
      <c r="E67" s="1">
        <v>1.0</v>
      </c>
      <c r="F67" s="1">
        <v>11.0</v>
      </c>
      <c r="G67" s="1" t="s">
        <v>23</v>
      </c>
    </row>
    <row r="68">
      <c r="A68" s="1" t="s">
        <v>16</v>
      </c>
      <c r="B68" s="2">
        <v>42016.0</v>
      </c>
      <c r="C68" s="1">
        <v>3499.0</v>
      </c>
      <c r="D68" s="1">
        <v>26852.0</v>
      </c>
      <c r="E68" s="1">
        <v>1.0</v>
      </c>
      <c r="F68" s="1">
        <v>12.0</v>
      </c>
      <c r="G68" s="1" t="s">
        <v>13</v>
      </c>
    </row>
    <row r="69">
      <c r="A69" s="1" t="s">
        <v>14</v>
      </c>
      <c r="B69" s="2">
        <v>42016.0</v>
      </c>
      <c r="C69" s="1">
        <v>279.0</v>
      </c>
      <c r="D69" s="1">
        <v>1711.0</v>
      </c>
      <c r="E69" s="1">
        <v>1.0</v>
      </c>
      <c r="F69" s="1">
        <v>12.0</v>
      </c>
      <c r="G69" s="1" t="s">
        <v>13</v>
      </c>
    </row>
    <row r="70">
      <c r="A70" s="1" t="s">
        <v>11</v>
      </c>
      <c r="B70" s="2">
        <v>42016.0</v>
      </c>
      <c r="C70" s="1">
        <v>217.0</v>
      </c>
      <c r="D70" s="1">
        <v>1399.0</v>
      </c>
      <c r="E70" s="1">
        <v>1.0</v>
      </c>
      <c r="F70" s="1">
        <v>12.0</v>
      </c>
      <c r="G70" s="1" t="s">
        <v>13</v>
      </c>
    </row>
    <row r="71">
      <c r="A71" s="1" t="s">
        <v>21</v>
      </c>
      <c r="B71" s="2">
        <v>42016.0</v>
      </c>
      <c r="C71" s="1">
        <v>964.0</v>
      </c>
      <c r="D71" s="1">
        <v>7915.0</v>
      </c>
      <c r="E71" s="1">
        <v>1.0</v>
      </c>
      <c r="F71" s="1">
        <v>12.0</v>
      </c>
      <c r="G71" s="1" t="s">
        <v>13</v>
      </c>
    </row>
    <row r="72">
      <c r="A72" s="1" t="s">
        <v>18</v>
      </c>
      <c r="B72" s="2">
        <v>42016.0</v>
      </c>
      <c r="C72" s="1">
        <v>1082.0</v>
      </c>
      <c r="D72" s="1">
        <v>9107.0</v>
      </c>
      <c r="E72" s="1">
        <v>1.0</v>
      </c>
      <c r="F72" s="1">
        <v>12.0</v>
      </c>
      <c r="G72" s="1" t="s">
        <v>13</v>
      </c>
    </row>
    <row r="73">
      <c r="A73" s="1" t="s">
        <v>19</v>
      </c>
      <c r="B73" s="2">
        <v>42016.0</v>
      </c>
      <c r="C73" s="1">
        <v>1323.0</v>
      </c>
      <c r="D73" s="1">
        <v>10662.0</v>
      </c>
      <c r="E73" s="1">
        <v>1.0</v>
      </c>
      <c r="F73" s="1">
        <v>12.0</v>
      </c>
      <c r="G73" s="1" t="s">
        <v>13</v>
      </c>
    </row>
    <row r="74">
      <c r="A74" s="1" t="s">
        <v>14</v>
      </c>
      <c r="B74" s="2">
        <v>42017.0</v>
      </c>
      <c r="C74" s="1">
        <v>258.0</v>
      </c>
      <c r="D74" s="1">
        <v>1697.0</v>
      </c>
      <c r="E74" s="1">
        <v>1.0</v>
      </c>
      <c r="F74" s="1">
        <v>13.0</v>
      </c>
      <c r="G74" s="1" t="s">
        <v>15</v>
      </c>
    </row>
    <row r="75">
      <c r="A75" s="1" t="s">
        <v>21</v>
      </c>
      <c r="B75" s="2">
        <v>42017.0</v>
      </c>
      <c r="C75" s="1">
        <v>975.0</v>
      </c>
      <c r="D75" s="1">
        <v>8713.0</v>
      </c>
      <c r="E75" s="1">
        <v>1.0</v>
      </c>
      <c r="F75" s="1">
        <v>13.0</v>
      </c>
      <c r="G75" s="1" t="s">
        <v>15</v>
      </c>
    </row>
    <row r="76">
      <c r="A76" s="1" t="s">
        <v>19</v>
      </c>
      <c r="B76" s="2">
        <v>42017.0</v>
      </c>
      <c r="C76" s="1">
        <v>1342.0</v>
      </c>
      <c r="D76" s="1">
        <v>11825.0</v>
      </c>
      <c r="E76" s="1">
        <v>1.0</v>
      </c>
      <c r="F76" s="1">
        <v>13.0</v>
      </c>
      <c r="G76" s="1" t="s">
        <v>15</v>
      </c>
    </row>
    <row r="77">
      <c r="A77" s="1" t="s">
        <v>11</v>
      </c>
      <c r="B77" s="2">
        <v>42017.0</v>
      </c>
      <c r="C77" s="1">
        <v>234.0</v>
      </c>
      <c r="D77" s="1">
        <v>1652.0</v>
      </c>
      <c r="E77" s="1">
        <v>1.0</v>
      </c>
      <c r="F77" s="1">
        <v>13.0</v>
      </c>
      <c r="G77" s="1" t="s">
        <v>15</v>
      </c>
    </row>
    <row r="78">
      <c r="A78" s="1" t="s">
        <v>16</v>
      </c>
      <c r="B78" s="2">
        <v>42017.0</v>
      </c>
      <c r="C78" s="1">
        <v>3658.0</v>
      </c>
      <c r="D78" s="1">
        <v>29983.0</v>
      </c>
      <c r="E78" s="1">
        <v>1.0</v>
      </c>
      <c r="F78" s="1">
        <v>13.0</v>
      </c>
      <c r="G78" s="1" t="s">
        <v>15</v>
      </c>
    </row>
    <row r="79">
      <c r="A79" s="1" t="s">
        <v>18</v>
      </c>
      <c r="B79" s="2">
        <v>42017.0</v>
      </c>
      <c r="C79" s="1">
        <v>1092.0</v>
      </c>
      <c r="D79" s="1">
        <v>9629.0</v>
      </c>
      <c r="E79" s="1">
        <v>1.0</v>
      </c>
      <c r="F79" s="1">
        <v>13.0</v>
      </c>
      <c r="G79" s="1" t="s">
        <v>15</v>
      </c>
    </row>
    <row r="80">
      <c r="A80" s="1" t="s">
        <v>16</v>
      </c>
      <c r="B80" s="2">
        <v>42018.0</v>
      </c>
      <c r="C80" s="1">
        <v>3736.0</v>
      </c>
      <c r="D80" s="1">
        <v>29550.0</v>
      </c>
      <c r="E80" s="1">
        <v>1.0</v>
      </c>
      <c r="F80" s="1">
        <v>14.0</v>
      </c>
      <c r="G80" s="1" t="s">
        <v>17</v>
      </c>
    </row>
    <row r="81">
      <c r="A81" s="1" t="s">
        <v>14</v>
      </c>
      <c r="B81" s="2">
        <v>42018.0</v>
      </c>
      <c r="C81" s="1">
        <v>271.0</v>
      </c>
      <c r="D81" s="1">
        <v>1600.0</v>
      </c>
      <c r="E81" s="1">
        <v>1.0</v>
      </c>
      <c r="F81" s="1">
        <v>14.0</v>
      </c>
      <c r="G81" s="1" t="s">
        <v>17</v>
      </c>
    </row>
    <row r="82">
      <c r="A82" s="1" t="s">
        <v>21</v>
      </c>
      <c r="B82" s="2">
        <v>42018.0</v>
      </c>
      <c r="C82" s="1">
        <v>1030.0</v>
      </c>
      <c r="D82" s="1">
        <v>8870.0</v>
      </c>
      <c r="E82" s="1">
        <v>1.0</v>
      </c>
      <c r="F82" s="1">
        <v>14.0</v>
      </c>
      <c r="G82" s="1" t="s">
        <v>17</v>
      </c>
    </row>
    <row r="83">
      <c r="A83" s="1" t="s">
        <v>11</v>
      </c>
      <c r="B83" s="2">
        <v>42018.0</v>
      </c>
      <c r="C83" s="1">
        <v>233.0</v>
      </c>
      <c r="D83" s="1">
        <v>1582.0</v>
      </c>
      <c r="E83" s="1">
        <v>1.0</v>
      </c>
      <c r="F83" s="1">
        <v>14.0</v>
      </c>
      <c r="G83" s="1" t="s">
        <v>17</v>
      </c>
    </row>
    <row r="84">
      <c r="A84" s="1" t="s">
        <v>19</v>
      </c>
      <c r="B84" s="2">
        <v>42018.0</v>
      </c>
      <c r="C84" s="1">
        <v>1405.0</v>
      </c>
      <c r="D84" s="1">
        <v>11965.0</v>
      </c>
      <c r="E84" s="1">
        <v>1.0</v>
      </c>
      <c r="F84" s="1">
        <v>14.0</v>
      </c>
      <c r="G84" s="1" t="s">
        <v>17</v>
      </c>
    </row>
    <row r="85">
      <c r="A85" s="1" t="s">
        <v>18</v>
      </c>
      <c r="B85" s="2">
        <v>42018.0</v>
      </c>
      <c r="C85" s="1">
        <v>1174.0</v>
      </c>
      <c r="D85" s="1">
        <v>9762.0</v>
      </c>
      <c r="E85" s="1">
        <v>1.0</v>
      </c>
      <c r="F85" s="1">
        <v>14.0</v>
      </c>
      <c r="G85" s="1" t="s">
        <v>17</v>
      </c>
    </row>
    <row r="86">
      <c r="A86" s="1" t="s">
        <v>11</v>
      </c>
      <c r="B86" s="2">
        <v>42019.0</v>
      </c>
      <c r="C86" s="1">
        <v>237.0</v>
      </c>
      <c r="D86" s="1">
        <v>1636.0</v>
      </c>
      <c r="E86" s="1">
        <v>1.0</v>
      </c>
      <c r="F86" s="1">
        <v>15.0</v>
      </c>
      <c r="G86" s="1" t="s">
        <v>12</v>
      </c>
    </row>
    <row r="87">
      <c r="A87" s="1" t="s">
        <v>18</v>
      </c>
      <c r="B87" s="2">
        <v>42019.0</v>
      </c>
      <c r="C87" s="1">
        <v>1208.0</v>
      </c>
      <c r="D87" s="1">
        <v>10391.0</v>
      </c>
      <c r="E87" s="1">
        <v>1.0</v>
      </c>
      <c r="F87" s="1">
        <v>15.0</v>
      </c>
      <c r="G87" s="1" t="s">
        <v>12</v>
      </c>
    </row>
    <row r="88">
      <c r="A88" s="1" t="s">
        <v>19</v>
      </c>
      <c r="B88" s="2">
        <v>42019.0</v>
      </c>
      <c r="C88" s="1">
        <v>1457.0</v>
      </c>
      <c r="D88" s="1">
        <v>12539.0</v>
      </c>
      <c r="E88" s="1">
        <v>1.0</v>
      </c>
      <c r="F88" s="1">
        <v>15.0</v>
      </c>
      <c r="G88" s="1" t="s">
        <v>12</v>
      </c>
    </row>
    <row r="89">
      <c r="A89" s="1" t="s">
        <v>14</v>
      </c>
      <c r="B89" s="2">
        <v>42019.0</v>
      </c>
      <c r="C89" s="1">
        <v>270.0</v>
      </c>
      <c r="D89" s="1">
        <v>1797.0</v>
      </c>
      <c r="E89" s="1">
        <v>1.0</v>
      </c>
      <c r="F89" s="1">
        <v>15.0</v>
      </c>
      <c r="G89" s="1" t="s">
        <v>12</v>
      </c>
    </row>
    <row r="90">
      <c r="A90" s="1" t="s">
        <v>16</v>
      </c>
      <c r="B90" s="2">
        <v>42019.0</v>
      </c>
      <c r="C90" s="1">
        <v>3840.0</v>
      </c>
      <c r="D90" s="1">
        <v>31214.0</v>
      </c>
      <c r="E90" s="1">
        <v>1.0</v>
      </c>
      <c r="F90" s="1">
        <v>15.0</v>
      </c>
      <c r="G90" s="1" t="s">
        <v>12</v>
      </c>
    </row>
    <row r="91">
      <c r="A91" s="1" t="s">
        <v>21</v>
      </c>
      <c r="B91" s="2">
        <v>42019.0</v>
      </c>
      <c r="C91" s="1">
        <v>1068.0</v>
      </c>
      <c r="D91" s="1">
        <v>9152.0</v>
      </c>
      <c r="E91" s="1">
        <v>1.0</v>
      </c>
      <c r="F91" s="1">
        <v>15.0</v>
      </c>
      <c r="G91" s="1" t="s">
        <v>12</v>
      </c>
    </row>
    <row r="92">
      <c r="A92" s="1" t="s">
        <v>19</v>
      </c>
      <c r="B92" s="2">
        <v>42020.0</v>
      </c>
      <c r="C92" s="1">
        <v>1445.0</v>
      </c>
      <c r="D92" s="1">
        <v>12977.0</v>
      </c>
      <c r="E92" s="1">
        <v>1.0</v>
      </c>
      <c r="F92" s="1">
        <v>16.0</v>
      </c>
      <c r="G92" s="1" t="s">
        <v>20</v>
      </c>
    </row>
    <row r="93">
      <c r="A93" s="1" t="s">
        <v>14</v>
      </c>
      <c r="B93" s="2">
        <v>42020.0</v>
      </c>
      <c r="C93" s="1">
        <v>290.0</v>
      </c>
      <c r="D93" s="1">
        <v>2082.0</v>
      </c>
      <c r="E93" s="1">
        <v>1.0</v>
      </c>
      <c r="F93" s="1">
        <v>16.0</v>
      </c>
      <c r="G93" s="1" t="s">
        <v>20</v>
      </c>
    </row>
    <row r="94">
      <c r="A94" s="1" t="s">
        <v>16</v>
      </c>
      <c r="B94" s="2">
        <v>42020.0</v>
      </c>
      <c r="C94" s="1">
        <v>3975.0</v>
      </c>
      <c r="D94" s="1">
        <v>34822.0</v>
      </c>
      <c r="E94" s="1">
        <v>1.0</v>
      </c>
      <c r="F94" s="1">
        <v>16.0</v>
      </c>
      <c r="G94" s="1" t="s">
        <v>20</v>
      </c>
    </row>
    <row r="95">
      <c r="A95" s="1" t="s">
        <v>18</v>
      </c>
      <c r="B95" s="2">
        <v>42020.0</v>
      </c>
      <c r="C95" s="1">
        <v>1250.0</v>
      </c>
      <c r="D95" s="1">
        <v>11280.0</v>
      </c>
      <c r="E95" s="1">
        <v>1.0</v>
      </c>
      <c r="F95" s="1">
        <v>16.0</v>
      </c>
      <c r="G95" s="1" t="s">
        <v>20</v>
      </c>
    </row>
    <row r="96">
      <c r="A96" s="1" t="s">
        <v>11</v>
      </c>
      <c r="B96" s="2">
        <v>42020.0</v>
      </c>
      <c r="C96" s="1">
        <v>234.0</v>
      </c>
      <c r="D96" s="1">
        <v>1481.0</v>
      </c>
      <c r="E96" s="1">
        <v>1.0</v>
      </c>
      <c r="F96" s="1">
        <v>16.0</v>
      </c>
      <c r="G96" s="1" t="s">
        <v>20</v>
      </c>
    </row>
    <row r="97">
      <c r="A97" s="1" t="s">
        <v>21</v>
      </c>
      <c r="B97" s="2">
        <v>42020.0</v>
      </c>
      <c r="C97" s="1">
        <v>1079.0</v>
      </c>
      <c r="D97" s="1">
        <v>9838.0</v>
      </c>
      <c r="E97" s="1">
        <v>1.0</v>
      </c>
      <c r="F97" s="1">
        <v>16.0</v>
      </c>
      <c r="G97" s="1" t="s">
        <v>20</v>
      </c>
    </row>
    <row r="98">
      <c r="A98" s="1" t="s">
        <v>21</v>
      </c>
      <c r="B98" s="2">
        <v>42021.0</v>
      </c>
      <c r="C98" s="1">
        <v>974.0</v>
      </c>
      <c r="D98" s="1">
        <v>9546.0</v>
      </c>
      <c r="E98" s="1">
        <v>1.0</v>
      </c>
      <c r="F98" s="1">
        <v>17.0</v>
      </c>
      <c r="G98" s="1" t="s">
        <v>22</v>
      </c>
    </row>
    <row r="99">
      <c r="A99" s="1" t="s">
        <v>11</v>
      </c>
      <c r="B99" s="2">
        <v>42021.0</v>
      </c>
      <c r="C99" s="1">
        <v>201.0</v>
      </c>
      <c r="D99" s="1">
        <v>1281.0</v>
      </c>
      <c r="E99" s="1">
        <v>1.0</v>
      </c>
      <c r="F99" s="1">
        <v>17.0</v>
      </c>
      <c r="G99" s="1" t="s">
        <v>22</v>
      </c>
    </row>
    <row r="100">
      <c r="A100" s="1" t="s">
        <v>18</v>
      </c>
      <c r="B100" s="2">
        <v>42021.0</v>
      </c>
      <c r="C100" s="1">
        <v>1137.0</v>
      </c>
      <c r="D100" s="1">
        <v>11382.0</v>
      </c>
      <c r="E100" s="1">
        <v>1.0</v>
      </c>
      <c r="F100" s="1">
        <v>17.0</v>
      </c>
      <c r="G100" s="1" t="s">
        <v>22</v>
      </c>
    </row>
    <row r="101">
      <c r="A101" s="1" t="s">
        <v>14</v>
      </c>
      <c r="B101" s="2">
        <v>42021.0</v>
      </c>
      <c r="C101" s="1">
        <v>252.0</v>
      </c>
      <c r="D101" s="1">
        <v>2160.0</v>
      </c>
      <c r="E101" s="1">
        <v>1.0</v>
      </c>
      <c r="F101" s="1">
        <v>17.0</v>
      </c>
      <c r="G101" s="1" t="s">
        <v>22</v>
      </c>
    </row>
    <row r="102">
      <c r="A102" s="1" t="s">
        <v>19</v>
      </c>
      <c r="B102" s="2">
        <v>42021.0</v>
      </c>
      <c r="C102" s="1">
        <v>1306.0</v>
      </c>
      <c r="D102" s="1">
        <v>12676.0</v>
      </c>
      <c r="E102" s="1">
        <v>1.0</v>
      </c>
      <c r="F102" s="1">
        <v>17.0</v>
      </c>
      <c r="G102" s="1" t="s">
        <v>22</v>
      </c>
    </row>
    <row r="103">
      <c r="A103" s="1" t="s">
        <v>16</v>
      </c>
      <c r="B103" s="2">
        <v>42021.0</v>
      </c>
      <c r="C103" s="1">
        <v>3657.0</v>
      </c>
      <c r="D103" s="1">
        <v>36318.0</v>
      </c>
      <c r="E103" s="1">
        <v>1.0</v>
      </c>
      <c r="F103" s="1">
        <v>17.0</v>
      </c>
      <c r="G103" s="1" t="s">
        <v>22</v>
      </c>
    </row>
    <row r="104">
      <c r="A104" s="1" t="s">
        <v>11</v>
      </c>
      <c r="B104" s="2">
        <v>42022.0</v>
      </c>
      <c r="C104" s="1">
        <v>177.0</v>
      </c>
      <c r="D104" s="1">
        <v>1521.0</v>
      </c>
      <c r="E104" s="1">
        <v>1.0</v>
      </c>
      <c r="F104" s="1">
        <v>18.0</v>
      </c>
      <c r="G104" s="1" t="s">
        <v>23</v>
      </c>
    </row>
    <row r="105">
      <c r="A105" s="1" t="s">
        <v>21</v>
      </c>
      <c r="B105" s="2">
        <v>42022.0</v>
      </c>
      <c r="C105" s="1">
        <v>869.0</v>
      </c>
      <c r="D105" s="1">
        <v>9443.0</v>
      </c>
      <c r="E105" s="1">
        <v>1.0</v>
      </c>
      <c r="F105" s="1">
        <v>18.0</v>
      </c>
      <c r="G105" s="1" t="s">
        <v>23</v>
      </c>
    </row>
    <row r="106">
      <c r="A106" s="1" t="s">
        <v>14</v>
      </c>
      <c r="B106" s="2">
        <v>42022.0</v>
      </c>
      <c r="C106" s="1">
        <v>248.0</v>
      </c>
      <c r="D106" s="1">
        <v>2287.0</v>
      </c>
      <c r="E106" s="1">
        <v>1.0</v>
      </c>
      <c r="F106" s="1">
        <v>18.0</v>
      </c>
      <c r="G106" s="1" t="s">
        <v>23</v>
      </c>
    </row>
    <row r="107">
      <c r="A107" s="1" t="s">
        <v>16</v>
      </c>
      <c r="B107" s="2">
        <v>42022.0</v>
      </c>
      <c r="C107" s="1">
        <v>3290.0</v>
      </c>
      <c r="D107" s="1">
        <v>35182.0</v>
      </c>
      <c r="E107" s="1">
        <v>1.0</v>
      </c>
      <c r="F107" s="1">
        <v>18.0</v>
      </c>
      <c r="G107" s="1" t="s">
        <v>23</v>
      </c>
    </row>
    <row r="108">
      <c r="A108" s="1" t="s">
        <v>18</v>
      </c>
      <c r="B108" s="2">
        <v>42022.0</v>
      </c>
      <c r="C108" s="1">
        <v>1056.0</v>
      </c>
      <c r="D108" s="1">
        <v>11161.0</v>
      </c>
      <c r="E108" s="1">
        <v>1.0</v>
      </c>
      <c r="F108" s="1">
        <v>18.0</v>
      </c>
      <c r="G108" s="1" t="s">
        <v>23</v>
      </c>
    </row>
    <row r="109">
      <c r="A109" s="1" t="s">
        <v>19</v>
      </c>
      <c r="B109" s="2">
        <v>42022.0</v>
      </c>
      <c r="C109" s="1">
        <v>1223.0</v>
      </c>
      <c r="D109" s="1">
        <v>12879.0</v>
      </c>
      <c r="E109" s="1">
        <v>1.0</v>
      </c>
      <c r="F109" s="1">
        <v>18.0</v>
      </c>
      <c r="G109" s="1" t="s">
        <v>23</v>
      </c>
    </row>
    <row r="110">
      <c r="A110" s="1" t="s">
        <v>18</v>
      </c>
      <c r="B110" s="2">
        <v>42023.0</v>
      </c>
      <c r="C110" s="1">
        <v>883.0</v>
      </c>
      <c r="D110" s="1">
        <v>7028.0</v>
      </c>
      <c r="E110" s="1">
        <v>1.0</v>
      </c>
      <c r="F110" s="1">
        <v>19.0</v>
      </c>
      <c r="G110" s="1" t="s">
        <v>13</v>
      </c>
    </row>
    <row r="111">
      <c r="A111" s="1" t="s">
        <v>19</v>
      </c>
      <c r="B111" s="2">
        <v>42023.0</v>
      </c>
      <c r="C111" s="1">
        <v>992.0</v>
      </c>
      <c r="D111" s="1">
        <v>7775.0</v>
      </c>
      <c r="E111" s="1">
        <v>1.0</v>
      </c>
      <c r="F111" s="1">
        <v>19.0</v>
      </c>
      <c r="G111" s="1" t="s">
        <v>13</v>
      </c>
    </row>
    <row r="112">
      <c r="A112" s="1" t="s">
        <v>14</v>
      </c>
      <c r="B112" s="2">
        <v>42023.0</v>
      </c>
      <c r="C112" s="1">
        <v>238.0</v>
      </c>
      <c r="D112" s="1">
        <v>1568.0</v>
      </c>
      <c r="E112" s="1">
        <v>1.0</v>
      </c>
      <c r="F112" s="1">
        <v>19.0</v>
      </c>
      <c r="G112" s="1" t="s">
        <v>13</v>
      </c>
    </row>
    <row r="113">
      <c r="A113" s="1" t="s">
        <v>16</v>
      </c>
      <c r="B113" s="2">
        <v>42023.0</v>
      </c>
      <c r="C113" s="1">
        <v>2958.0</v>
      </c>
      <c r="D113" s="1">
        <v>22750.0</v>
      </c>
      <c r="E113" s="1">
        <v>1.0</v>
      </c>
      <c r="F113" s="1">
        <v>19.0</v>
      </c>
      <c r="G113" s="1" t="s">
        <v>13</v>
      </c>
    </row>
    <row r="114">
      <c r="A114" s="1" t="s">
        <v>11</v>
      </c>
      <c r="B114" s="2">
        <v>42023.0</v>
      </c>
      <c r="C114" s="1">
        <v>168.0</v>
      </c>
      <c r="D114" s="1">
        <v>1025.0</v>
      </c>
      <c r="E114" s="1">
        <v>1.0</v>
      </c>
      <c r="F114" s="1">
        <v>19.0</v>
      </c>
      <c r="G114" s="1" t="s">
        <v>13</v>
      </c>
    </row>
    <row r="115">
      <c r="A115" s="1" t="s">
        <v>21</v>
      </c>
      <c r="B115" s="2">
        <v>42023.0</v>
      </c>
      <c r="C115" s="1">
        <v>706.0</v>
      </c>
      <c r="D115" s="1">
        <v>5609.0</v>
      </c>
      <c r="E115" s="1">
        <v>1.0</v>
      </c>
      <c r="F115" s="1">
        <v>19.0</v>
      </c>
      <c r="G115" s="1" t="s">
        <v>13</v>
      </c>
    </row>
    <row r="116">
      <c r="A116" s="1" t="s">
        <v>21</v>
      </c>
      <c r="B116" s="2">
        <v>42024.0</v>
      </c>
      <c r="C116" s="1">
        <v>944.0</v>
      </c>
      <c r="D116" s="1">
        <v>7206.0</v>
      </c>
      <c r="E116" s="1">
        <v>1.0</v>
      </c>
      <c r="F116" s="1">
        <v>20.0</v>
      </c>
      <c r="G116" s="1" t="s">
        <v>15</v>
      </c>
    </row>
    <row r="117">
      <c r="A117" s="1" t="s">
        <v>18</v>
      </c>
      <c r="B117" s="2">
        <v>42024.0</v>
      </c>
      <c r="C117" s="1">
        <v>1151.0</v>
      </c>
      <c r="D117" s="1">
        <v>8496.0</v>
      </c>
      <c r="E117" s="1">
        <v>1.0</v>
      </c>
      <c r="F117" s="1">
        <v>20.0</v>
      </c>
      <c r="G117" s="1" t="s">
        <v>15</v>
      </c>
    </row>
    <row r="118">
      <c r="A118" s="1" t="s">
        <v>11</v>
      </c>
      <c r="B118" s="2">
        <v>42024.0</v>
      </c>
      <c r="C118" s="1">
        <v>221.0</v>
      </c>
      <c r="D118" s="1">
        <v>1310.0</v>
      </c>
      <c r="E118" s="1">
        <v>1.0</v>
      </c>
      <c r="F118" s="1">
        <v>20.0</v>
      </c>
      <c r="G118" s="1" t="s">
        <v>15</v>
      </c>
    </row>
    <row r="119">
      <c r="A119" s="1" t="s">
        <v>16</v>
      </c>
      <c r="B119" s="2">
        <v>42024.0</v>
      </c>
      <c r="C119" s="1">
        <v>3654.0</v>
      </c>
      <c r="D119" s="1">
        <v>26137.0</v>
      </c>
      <c r="E119" s="1">
        <v>1.0</v>
      </c>
      <c r="F119" s="1">
        <v>20.0</v>
      </c>
      <c r="G119" s="1" t="s">
        <v>15</v>
      </c>
    </row>
    <row r="120">
      <c r="A120" s="1" t="s">
        <v>14</v>
      </c>
      <c r="B120" s="2">
        <v>42024.0</v>
      </c>
      <c r="C120" s="1">
        <v>272.0</v>
      </c>
      <c r="D120" s="1">
        <v>1608.0</v>
      </c>
      <c r="E120" s="1">
        <v>1.0</v>
      </c>
      <c r="F120" s="1">
        <v>20.0</v>
      </c>
      <c r="G120" s="1" t="s">
        <v>15</v>
      </c>
    </row>
    <row r="121">
      <c r="A121" s="1" t="s">
        <v>19</v>
      </c>
      <c r="B121" s="2">
        <v>42024.0</v>
      </c>
      <c r="C121" s="1">
        <v>1350.0</v>
      </c>
      <c r="D121" s="1">
        <v>10015.0</v>
      </c>
      <c r="E121" s="1">
        <v>1.0</v>
      </c>
      <c r="F121" s="1">
        <v>20.0</v>
      </c>
      <c r="G121" s="1" t="s">
        <v>15</v>
      </c>
    </row>
    <row r="122">
      <c r="A122" s="1" t="s">
        <v>16</v>
      </c>
      <c r="B122" s="2">
        <v>42025.0</v>
      </c>
      <c r="C122" s="1">
        <v>3718.0</v>
      </c>
      <c r="D122" s="1">
        <v>27344.0</v>
      </c>
      <c r="E122" s="1">
        <v>1.0</v>
      </c>
      <c r="F122" s="1">
        <v>21.0</v>
      </c>
      <c r="G122" s="1" t="s">
        <v>17</v>
      </c>
    </row>
    <row r="123">
      <c r="A123" s="1" t="s">
        <v>11</v>
      </c>
      <c r="B123" s="2">
        <v>42025.0</v>
      </c>
      <c r="C123" s="1">
        <v>242.0</v>
      </c>
      <c r="D123" s="1">
        <v>1519.0</v>
      </c>
      <c r="E123" s="1">
        <v>1.0</v>
      </c>
      <c r="F123" s="1">
        <v>21.0</v>
      </c>
      <c r="G123" s="1" t="s">
        <v>17</v>
      </c>
    </row>
    <row r="124">
      <c r="A124" s="1" t="s">
        <v>18</v>
      </c>
      <c r="B124" s="2">
        <v>42025.0</v>
      </c>
      <c r="C124" s="1">
        <v>1228.0</v>
      </c>
      <c r="D124" s="1">
        <v>9472.0</v>
      </c>
      <c r="E124" s="1">
        <v>1.0</v>
      </c>
      <c r="F124" s="1">
        <v>21.0</v>
      </c>
      <c r="G124" s="1" t="s">
        <v>17</v>
      </c>
    </row>
    <row r="125">
      <c r="A125" s="1" t="s">
        <v>21</v>
      </c>
      <c r="B125" s="2">
        <v>42025.0</v>
      </c>
      <c r="C125" s="1">
        <v>1035.0</v>
      </c>
      <c r="D125" s="1">
        <v>8041.0</v>
      </c>
      <c r="E125" s="1">
        <v>1.0</v>
      </c>
      <c r="F125" s="1">
        <v>21.0</v>
      </c>
      <c r="G125" s="1" t="s">
        <v>17</v>
      </c>
    </row>
    <row r="126">
      <c r="A126" s="1" t="s">
        <v>14</v>
      </c>
      <c r="B126" s="2">
        <v>42025.0</v>
      </c>
      <c r="C126" s="1">
        <v>296.0</v>
      </c>
      <c r="D126" s="1">
        <v>1774.0</v>
      </c>
      <c r="E126" s="1">
        <v>1.0</v>
      </c>
      <c r="F126" s="1">
        <v>21.0</v>
      </c>
      <c r="G126" s="1" t="s">
        <v>17</v>
      </c>
    </row>
    <row r="127">
      <c r="A127" s="1" t="s">
        <v>19</v>
      </c>
      <c r="B127" s="2">
        <v>42025.0</v>
      </c>
      <c r="C127" s="1">
        <v>1429.0</v>
      </c>
      <c r="D127" s="1">
        <v>10997.0</v>
      </c>
      <c r="E127" s="1">
        <v>1.0</v>
      </c>
      <c r="F127" s="1">
        <v>21.0</v>
      </c>
      <c r="G127" s="1" t="s">
        <v>17</v>
      </c>
    </row>
    <row r="128">
      <c r="A128" s="1" t="s">
        <v>19</v>
      </c>
      <c r="B128" s="2">
        <v>42026.0</v>
      </c>
      <c r="C128" s="1">
        <v>1471.0</v>
      </c>
      <c r="D128" s="1">
        <v>12143.0</v>
      </c>
      <c r="E128" s="1">
        <v>1.0</v>
      </c>
      <c r="F128" s="1">
        <v>22.0</v>
      </c>
      <c r="G128" s="1" t="s">
        <v>12</v>
      </c>
    </row>
    <row r="129">
      <c r="A129" s="1" t="s">
        <v>16</v>
      </c>
      <c r="B129" s="2">
        <v>42026.0</v>
      </c>
      <c r="C129" s="1">
        <v>3889.0</v>
      </c>
      <c r="D129" s="1">
        <v>30091.0</v>
      </c>
      <c r="E129" s="1">
        <v>1.0</v>
      </c>
      <c r="F129" s="1">
        <v>22.0</v>
      </c>
      <c r="G129" s="1" t="s">
        <v>12</v>
      </c>
    </row>
    <row r="130">
      <c r="A130" s="1" t="s">
        <v>11</v>
      </c>
      <c r="B130" s="2">
        <v>42026.0</v>
      </c>
      <c r="C130" s="1">
        <v>246.0</v>
      </c>
      <c r="D130" s="1">
        <v>1551.0</v>
      </c>
      <c r="E130" s="1">
        <v>1.0</v>
      </c>
      <c r="F130" s="1">
        <v>22.0</v>
      </c>
      <c r="G130" s="1" t="s">
        <v>12</v>
      </c>
    </row>
    <row r="131">
      <c r="A131" s="1" t="s">
        <v>21</v>
      </c>
      <c r="B131" s="2">
        <v>42026.0</v>
      </c>
      <c r="C131" s="1">
        <v>1071.0</v>
      </c>
      <c r="D131" s="1">
        <v>9080.0</v>
      </c>
      <c r="E131" s="1">
        <v>1.0</v>
      </c>
      <c r="F131" s="1">
        <v>22.0</v>
      </c>
      <c r="G131" s="1" t="s">
        <v>12</v>
      </c>
    </row>
    <row r="132">
      <c r="A132" s="1" t="s">
        <v>18</v>
      </c>
      <c r="B132" s="2">
        <v>42026.0</v>
      </c>
      <c r="C132" s="1">
        <v>1295.0</v>
      </c>
      <c r="D132" s="1">
        <v>10699.0</v>
      </c>
      <c r="E132" s="1">
        <v>1.0</v>
      </c>
      <c r="F132" s="1">
        <v>22.0</v>
      </c>
      <c r="G132" s="1" t="s">
        <v>12</v>
      </c>
    </row>
    <row r="133">
      <c r="A133" s="1" t="s">
        <v>14</v>
      </c>
      <c r="B133" s="2">
        <v>42026.0</v>
      </c>
      <c r="C133" s="1">
        <v>295.0</v>
      </c>
      <c r="D133" s="1">
        <v>2038.0</v>
      </c>
      <c r="E133" s="1">
        <v>1.0</v>
      </c>
      <c r="F133" s="1">
        <v>22.0</v>
      </c>
      <c r="G133" s="1" t="s">
        <v>12</v>
      </c>
    </row>
    <row r="134">
      <c r="A134" s="1" t="s">
        <v>21</v>
      </c>
      <c r="B134" s="2">
        <v>42027.0</v>
      </c>
      <c r="C134" s="1">
        <v>1093.0</v>
      </c>
      <c r="D134" s="1">
        <v>9343.0</v>
      </c>
      <c r="E134" s="1">
        <v>1.0</v>
      </c>
      <c r="F134" s="1">
        <v>23.0</v>
      </c>
      <c r="G134" s="1" t="s">
        <v>20</v>
      </c>
    </row>
    <row r="135">
      <c r="A135" s="1" t="s">
        <v>11</v>
      </c>
      <c r="B135" s="2">
        <v>42027.0</v>
      </c>
      <c r="C135" s="1">
        <v>246.0</v>
      </c>
      <c r="D135" s="1">
        <v>1670.0</v>
      </c>
      <c r="E135" s="1">
        <v>1.0</v>
      </c>
      <c r="F135" s="1">
        <v>23.0</v>
      </c>
      <c r="G135" s="1" t="s">
        <v>20</v>
      </c>
    </row>
    <row r="136">
      <c r="A136" s="1" t="s">
        <v>14</v>
      </c>
      <c r="B136" s="2">
        <v>42027.0</v>
      </c>
      <c r="C136" s="1">
        <v>299.0</v>
      </c>
      <c r="D136" s="1">
        <v>2162.0</v>
      </c>
      <c r="E136" s="1">
        <v>1.0</v>
      </c>
      <c r="F136" s="1">
        <v>23.0</v>
      </c>
      <c r="G136" s="1" t="s">
        <v>20</v>
      </c>
    </row>
    <row r="137">
      <c r="A137" s="1" t="s">
        <v>16</v>
      </c>
      <c r="B137" s="2">
        <v>42027.0</v>
      </c>
      <c r="C137" s="1">
        <v>4040.0</v>
      </c>
      <c r="D137" s="1">
        <v>33756.0</v>
      </c>
      <c r="E137" s="1">
        <v>1.0</v>
      </c>
      <c r="F137" s="1">
        <v>23.0</v>
      </c>
      <c r="G137" s="1" t="s">
        <v>20</v>
      </c>
    </row>
    <row r="138">
      <c r="A138" s="1" t="s">
        <v>19</v>
      </c>
      <c r="B138" s="2">
        <v>42027.0</v>
      </c>
      <c r="C138" s="1">
        <v>1482.0</v>
      </c>
      <c r="D138" s="1">
        <v>13121.0</v>
      </c>
      <c r="E138" s="1">
        <v>1.0</v>
      </c>
      <c r="F138" s="1">
        <v>23.0</v>
      </c>
      <c r="G138" s="1" t="s">
        <v>20</v>
      </c>
    </row>
    <row r="139">
      <c r="A139" s="1" t="s">
        <v>18</v>
      </c>
      <c r="B139" s="2">
        <v>42027.0</v>
      </c>
      <c r="C139" s="1">
        <v>1330.0</v>
      </c>
      <c r="D139" s="1">
        <v>11767.0</v>
      </c>
      <c r="E139" s="1">
        <v>1.0</v>
      </c>
      <c r="F139" s="1">
        <v>23.0</v>
      </c>
      <c r="G139" s="1" t="s">
        <v>20</v>
      </c>
    </row>
    <row r="140">
      <c r="A140" s="1" t="s">
        <v>21</v>
      </c>
      <c r="B140" s="2">
        <v>42028.0</v>
      </c>
      <c r="C140" s="1">
        <v>945.0</v>
      </c>
      <c r="D140" s="1">
        <v>10040.0</v>
      </c>
      <c r="E140" s="1">
        <v>1.0</v>
      </c>
      <c r="F140" s="1">
        <v>24.0</v>
      </c>
      <c r="G140" s="1" t="s">
        <v>22</v>
      </c>
    </row>
    <row r="141">
      <c r="A141" s="1" t="s">
        <v>16</v>
      </c>
      <c r="B141" s="2">
        <v>42028.0</v>
      </c>
      <c r="C141" s="1">
        <v>3652.0</v>
      </c>
      <c r="D141" s="1">
        <v>39187.0</v>
      </c>
      <c r="E141" s="1">
        <v>1.0</v>
      </c>
      <c r="F141" s="1">
        <v>24.0</v>
      </c>
      <c r="G141" s="1" t="s">
        <v>22</v>
      </c>
    </row>
    <row r="142">
      <c r="A142" s="1" t="s">
        <v>11</v>
      </c>
      <c r="B142" s="2">
        <v>42028.0</v>
      </c>
      <c r="C142" s="1">
        <v>211.0</v>
      </c>
      <c r="D142" s="1">
        <v>1608.0</v>
      </c>
      <c r="E142" s="1">
        <v>1.0</v>
      </c>
      <c r="F142" s="1">
        <v>24.0</v>
      </c>
      <c r="G142" s="1" t="s">
        <v>22</v>
      </c>
    </row>
    <row r="143">
      <c r="A143" s="1" t="s">
        <v>19</v>
      </c>
      <c r="B143" s="2">
        <v>42028.0</v>
      </c>
      <c r="C143" s="1">
        <v>1367.0</v>
      </c>
      <c r="D143" s="1">
        <v>14143.0</v>
      </c>
      <c r="E143" s="1">
        <v>1.0</v>
      </c>
      <c r="F143" s="1">
        <v>24.0</v>
      </c>
      <c r="G143" s="1" t="s">
        <v>22</v>
      </c>
    </row>
    <row r="144">
      <c r="A144" s="1" t="s">
        <v>18</v>
      </c>
      <c r="B144" s="2">
        <v>42028.0</v>
      </c>
      <c r="C144" s="1">
        <v>1223.0</v>
      </c>
      <c r="D144" s="1">
        <v>13355.0</v>
      </c>
      <c r="E144" s="1">
        <v>1.0</v>
      </c>
      <c r="F144" s="1">
        <v>24.0</v>
      </c>
      <c r="G144" s="1" t="s">
        <v>22</v>
      </c>
    </row>
    <row r="145">
      <c r="A145" s="1" t="s">
        <v>14</v>
      </c>
      <c r="B145" s="2">
        <v>42028.0</v>
      </c>
      <c r="C145" s="1">
        <v>245.0</v>
      </c>
      <c r="D145" s="1">
        <v>2376.0</v>
      </c>
      <c r="E145" s="1">
        <v>1.0</v>
      </c>
      <c r="F145" s="1">
        <v>24.0</v>
      </c>
      <c r="G145" s="1" t="s">
        <v>22</v>
      </c>
    </row>
    <row r="146">
      <c r="A146" s="1" t="s">
        <v>11</v>
      </c>
      <c r="B146" s="2">
        <v>42029.0</v>
      </c>
      <c r="C146" s="1">
        <v>183.0</v>
      </c>
      <c r="D146" s="1">
        <v>1190.0</v>
      </c>
      <c r="E146" s="1">
        <v>1.0</v>
      </c>
      <c r="F146" s="1">
        <v>25.0</v>
      </c>
      <c r="G146" s="1" t="s">
        <v>23</v>
      </c>
    </row>
    <row r="147">
      <c r="A147" s="1" t="s">
        <v>16</v>
      </c>
      <c r="B147" s="2">
        <v>42029.0</v>
      </c>
      <c r="C147" s="1">
        <v>3300.0</v>
      </c>
      <c r="D147" s="1">
        <v>28066.0</v>
      </c>
      <c r="E147" s="1">
        <v>1.0</v>
      </c>
      <c r="F147" s="1">
        <v>25.0</v>
      </c>
      <c r="G147" s="1" t="s">
        <v>23</v>
      </c>
    </row>
    <row r="148">
      <c r="A148" s="1" t="s">
        <v>14</v>
      </c>
      <c r="B148" s="2">
        <v>42029.0</v>
      </c>
      <c r="C148" s="1">
        <v>226.0</v>
      </c>
      <c r="D148" s="1">
        <v>1755.0</v>
      </c>
      <c r="E148" s="1">
        <v>1.0</v>
      </c>
      <c r="F148" s="1">
        <v>25.0</v>
      </c>
      <c r="G148" s="1" t="s">
        <v>23</v>
      </c>
    </row>
    <row r="149">
      <c r="A149" s="1" t="s">
        <v>21</v>
      </c>
      <c r="B149" s="2">
        <v>42029.0</v>
      </c>
      <c r="C149" s="1">
        <v>829.0</v>
      </c>
      <c r="D149" s="1">
        <v>7219.0</v>
      </c>
      <c r="E149" s="1">
        <v>1.0</v>
      </c>
      <c r="F149" s="1">
        <v>25.0</v>
      </c>
      <c r="G149" s="1" t="s">
        <v>23</v>
      </c>
    </row>
    <row r="150">
      <c r="A150" s="1" t="s">
        <v>18</v>
      </c>
      <c r="B150" s="2">
        <v>42029.0</v>
      </c>
      <c r="C150" s="1">
        <v>1046.0</v>
      </c>
      <c r="D150" s="1">
        <v>9303.0</v>
      </c>
      <c r="E150" s="1">
        <v>1.0</v>
      </c>
      <c r="F150" s="1">
        <v>25.0</v>
      </c>
      <c r="G150" s="1" t="s">
        <v>23</v>
      </c>
    </row>
    <row r="151">
      <c r="A151" s="1" t="s">
        <v>19</v>
      </c>
      <c r="B151" s="2">
        <v>42029.0</v>
      </c>
      <c r="C151" s="1">
        <v>1203.0</v>
      </c>
      <c r="D151" s="1">
        <v>10362.0</v>
      </c>
      <c r="E151" s="1">
        <v>1.0</v>
      </c>
      <c r="F151" s="1">
        <v>25.0</v>
      </c>
      <c r="G151" s="1" t="s">
        <v>23</v>
      </c>
    </row>
    <row r="152">
      <c r="A152" s="1" t="s">
        <v>19</v>
      </c>
      <c r="B152" s="2">
        <v>42030.0</v>
      </c>
      <c r="C152" s="1">
        <v>1150.0</v>
      </c>
      <c r="D152" s="1">
        <v>7608.0</v>
      </c>
      <c r="E152" s="1">
        <v>1.0</v>
      </c>
      <c r="F152" s="1">
        <v>26.0</v>
      </c>
      <c r="G152" s="1" t="s">
        <v>13</v>
      </c>
    </row>
    <row r="153">
      <c r="A153" s="1" t="s">
        <v>21</v>
      </c>
      <c r="B153" s="2">
        <v>42030.0</v>
      </c>
      <c r="C153" s="1">
        <v>860.0</v>
      </c>
      <c r="D153" s="1">
        <v>5919.0</v>
      </c>
      <c r="E153" s="1">
        <v>1.0</v>
      </c>
      <c r="F153" s="1">
        <v>26.0</v>
      </c>
      <c r="G153" s="1" t="s">
        <v>13</v>
      </c>
    </row>
    <row r="154">
      <c r="A154" s="1" t="s">
        <v>14</v>
      </c>
      <c r="B154" s="2">
        <v>42030.0</v>
      </c>
      <c r="C154" s="1">
        <v>230.0</v>
      </c>
      <c r="D154" s="1">
        <v>1363.0</v>
      </c>
      <c r="E154" s="1">
        <v>1.0</v>
      </c>
      <c r="F154" s="1">
        <v>26.0</v>
      </c>
      <c r="G154" s="1" t="s">
        <v>13</v>
      </c>
    </row>
    <row r="155">
      <c r="A155" s="1" t="s">
        <v>16</v>
      </c>
      <c r="B155" s="2">
        <v>42030.0</v>
      </c>
      <c r="C155" s="1">
        <v>3012.0</v>
      </c>
      <c r="D155" s="1">
        <v>19940.0</v>
      </c>
      <c r="E155" s="1">
        <v>1.0</v>
      </c>
      <c r="F155" s="1">
        <v>26.0</v>
      </c>
      <c r="G155" s="1" t="s">
        <v>13</v>
      </c>
    </row>
    <row r="156">
      <c r="A156" s="1" t="s">
        <v>18</v>
      </c>
      <c r="B156" s="2">
        <v>42030.0</v>
      </c>
      <c r="C156" s="1">
        <v>1084.0</v>
      </c>
      <c r="D156" s="1">
        <v>7565.0</v>
      </c>
      <c r="E156" s="1">
        <v>1.0</v>
      </c>
      <c r="F156" s="1">
        <v>26.0</v>
      </c>
      <c r="G156" s="1" t="s">
        <v>13</v>
      </c>
    </row>
    <row r="157">
      <c r="A157" s="1" t="s">
        <v>11</v>
      </c>
      <c r="B157" s="2">
        <v>42030.0</v>
      </c>
      <c r="C157" s="1">
        <v>197.0</v>
      </c>
      <c r="D157" s="1">
        <v>1000.0</v>
      </c>
      <c r="E157" s="1">
        <v>1.0</v>
      </c>
      <c r="F157" s="1">
        <v>26.0</v>
      </c>
      <c r="G157" s="1" t="s">
        <v>13</v>
      </c>
    </row>
    <row r="158">
      <c r="A158" s="1" t="s">
        <v>18</v>
      </c>
      <c r="B158" s="2">
        <v>42031.0</v>
      </c>
      <c r="C158" s="1">
        <v>600.0</v>
      </c>
      <c r="D158" s="1">
        <v>4414.0</v>
      </c>
      <c r="E158" s="1">
        <v>1.0</v>
      </c>
      <c r="F158" s="1">
        <v>27.0</v>
      </c>
      <c r="G158" s="1" t="s">
        <v>15</v>
      </c>
    </row>
    <row r="159">
      <c r="A159" s="1" t="s">
        <v>14</v>
      </c>
      <c r="B159" s="2">
        <v>42031.0</v>
      </c>
      <c r="C159" s="1">
        <v>135.0</v>
      </c>
      <c r="D159" s="1">
        <v>921.0</v>
      </c>
      <c r="E159" s="1">
        <v>1.0</v>
      </c>
      <c r="F159" s="1">
        <v>27.0</v>
      </c>
      <c r="G159" s="1" t="s">
        <v>15</v>
      </c>
    </row>
    <row r="160">
      <c r="A160" s="1" t="s">
        <v>19</v>
      </c>
      <c r="B160" s="2">
        <v>42031.0</v>
      </c>
      <c r="C160" s="1">
        <v>596.0</v>
      </c>
      <c r="D160" s="1">
        <v>4325.0</v>
      </c>
      <c r="E160" s="1">
        <v>1.0</v>
      </c>
      <c r="F160" s="1">
        <v>27.0</v>
      </c>
      <c r="G160" s="1" t="s">
        <v>15</v>
      </c>
    </row>
    <row r="161">
      <c r="A161" s="1" t="s">
        <v>21</v>
      </c>
      <c r="B161" s="2">
        <v>42031.0</v>
      </c>
      <c r="C161" s="1">
        <v>434.0</v>
      </c>
      <c r="D161" s="1">
        <v>2957.0</v>
      </c>
      <c r="E161" s="1">
        <v>1.0</v>
      </c>
      <c r="F161" s="1">
        <v>27.0</v>
      </c>
      <c r="G161" s="1" t="s">
        <v>15</v>
      </c>
    </row>
    <row r="162">
      <c r="A162" s="1" t="s">
        <v>11</v>
      </c>
      <c r="B162" s="2">
        <v>42031.0</v>
      </c>
      <c r="C162" s="1">
        <v>112.0</v>
      </c>
      <c r="D162" s="1">
        <v>629.0</v>
      </c>
      <c r="E162" s="1">
        <v>1.0</v>
      </c>
      <c r="F162" s="1">
        <v>27.0</v>
      </c>
      <c r="G162" s="1" t="s">
        <v>15</v>
      </c>
    </row>
    <row r="163">
      <c r="A163" s="1" t="s">
        <v>16</v>
      </c>
      <c r="B163" s="2">
        <v>42031.0</v>
      </c>
      <c r="C163" s="1">
        <v>1619.0</v>
      </c>
      <c r="D163" s="1">
        <v>11998.0</v>
      </c>
      <c r="E163" s="1">
        <v>1.0</v>
      </c>
      <c r="F163" s="1">
        <v>27.0</v>
      </c>
      <c r="G163" s="1" t="s">
        <v>15</v>
      </c>
    </row>
    <row r="164">
      <c r="A164" s="1" t="s">
        <v>16</v>
      </c>
      <c r="B164" s="2">
        <v>42032.0</v>
      </c>
      <c r="C164" s="1">
        <v>3692.0</v>
      </c>
      <c r="D164" s="1">
        <v>28137.0</v>
      </c>
      <c r="E164" s="1">
        <v>1.0</v>
      </c>
      <c r="F164" s="1">
        <v>28.0</v>
      </c>
      <c r="G164" s="1" t="s">
        <v>17</v>
      </c>
    </row>
    <row r="165">
      <c r="A165" s="1" t="s">
        <v>18</v>
      </c>
      <c r="B165" s="2">
        <v>42032.0</v>
      </c>
      <c r="C165" s="1">
        <v>1235.0</v>
      </c>
      <c r="D165" s="1">
        <v>10025.0</v>
      </c>
      <c r="E165" s="1">
        <v>1.0</v>
      </c>
      <c r="F165" s="1">
        <v>28.0</v>
      </c>
      <c r="G165" s="1" t="s">
        <v>17</v>
      </c>
    </row>
    <row r="166">
      <c r="A166" s="1" t="s">
        <v>14</v>
      </c>
      <c r="B166" s="2">
        <v>42032.0</v>
      </c>
      <c r="C166" s="1">
        <v>286.0</v>
      </c>
      <c r="D166" s="1">
        <v>1913.0</v>
      </c>
      <c r="E166" s="1">
        <v>1.0</v>
      </c>
      <c r="F166" s="1">
        <v>28.0</v>
      </c>
      <c r="G166" s="1" t="s">
        <v>17</v>
      </c>
    </row>
    <row r="167">
      <c r="A167" s="1" t="s">
        <v>19</v>
      </c>
      <c r="B167" s="2">
        <v>42032.0</v>
      </c>
      <c r="C167" s="1">
        <v>1356.0</v>
      </c>
      <c r="D167" s="1">
        <v>10862.0</v>
      </c>
      <c r="E167" s="1">
        <v>1.0</v>
      </c>
      <c r="F167" s="1">
        <v>28.0</v>
      </c>
      <c r="G167" s="1" t="s">
        <v>17</v>
      </c>
    </row>
    <row r="168">
      <c r="A168" s="1" t="s">
        <v>21</v>
      </c>
      <c r="B168" s="2">
        <v>42032.0</v>
      </c>
      <c r="C168" s="1">
        <v>1011.0</v>
      </c>
      <c r="D168" s="1">
        <v>8071.0</v>
      </c>
      <c r="E168" s="1">
        <v>1.0</v>
      </c>
      <c r="F168" s="1">
        <v>28.0</v>
      </c>
      <c r="G168" s="1" t="s">
        <v>17</v>
      </c>
    </row>
    <row r="169">
      <c r="A169" s="1" t="s">
        <v>11</v>
      </c>
      <c r="B169" s="2">
        <v>42032.0</v>
      </c>
      <c r="C169" s="1">
        <v>235.0</v>
      </c>
      <c r="D169" s="1">
        <v>1438.0</v>
      </c>
      <c r="E169" s="1">
        <v>1.0</v>
      </c>
      <c r="F169" s="1">
        <v>28.0</v>
      </c>
      <c r="G169" s="1" t="s">
        <v>17</v>
      </c>
    </row>
    <row r="170">
      <c r="A170" s="1" t="s">
        <v>19</v>
      </c>
      <c r="B170" s="2">
        <v>42033.0</v>
      </c>
      <c r="C170" s="1">
        <v>1474.0</v>
      </c>
      <c r="D170" s="1">
        <v>12600.0</v>
      </c>
      <c r="E170" s="1">
        <v>1.0</v>
      </c>
      <c r="F170" s="1">
        <v>29.0</v>
      </c>
      <c r="G170" s="1" t="s">
        <v>12</v>
      </c>
    </row>
    <row r="171">
      <c r="A171" s="1" t="s">
        <v>16</v>
      </c>
      <c r="B171" s="2">
        <v>42033.0</v>
      </c>
      <c r="C171" s="1">
        <v>3959.0</v>
      </c>
      <c r="D171" s="1">
        <v>31637.0</v>
      </c>
      <c r="E171" s="1">
        <v>1.0</v>
      </c>
      <c r="F171" s="1">
        <v>29.0</v>
      </c>
      <c r="G171" s="1" t="s">
        <v>12</v>
      </c>
    </row>
    <row r="172">
      <c r="A172" s="1" t="s">
        <v>18</v>
      </c>
      <c r="B172" s="2">
        <v>42033.0</v>
      </c>
      <c r="C172" s="1">
        <v>1316.0</v>
      </c>
      <c r="D172" s="1">
        <v>11485.0</v>
      </c>
      <c r="E172" s="1">
        <v>1.0</v>
      </c>
      <c r="F172" s="1">
        <v>29.0</v>
      </c>
      <c r="G172" s="1" t="s">
        <v>12</v>
      </c>
    </row>
    <row r="173">
      <c r="A173" s="1" t="s">
        <v>14</v>
      </c>
      <c r="B173" s="2">
        <v>42033.0</v>
      </c>
      <c r="C173" s="1">
        <v>295.0</v>
      </c>
      <c r="D173" s="1">
        <v>2086.0</v>
      </c>
      <c r="E173" s="1">
        <v>1.0</v>
      </c>
      <c r="F173" s="1">
        <v>29.0</v>
      </c>
      <c r="G173" s="1" t="s">
        <v>12</v>
      </c>
    </row>
    <row r="174">
      <c r="A174" s="1" t="s">
        <v>11</v>
      </c>
      <c r="B174" s="2">
        <v>42033.0</v>
      </c>
      <c r="C174" s="1">
        <v>250.0</v>
      </c>
      <c r="D174" s="1">
        <v>1687.0</v>
      </c>
      <c r="E174" s="1">
        <v>1.0</v>
      </c>
      <c r="F174" s="1">
        <v>29.0</v>
      </c>
      <c r="G174" s="1" t="s">
        <v>12</v>
      </c>
    </row>
    <row r="175">
      <c r="A175" s="1" t="s">
        <v>21</v>
      </c>
      <c r="B175" s="2">
        <v>42033.0</v>
      </c>
      <c r="C175" s="1">
        <v>1082.0</v>
      </c>
      <c r="D175" s="1">
        <v>9499.0</v>
      </c>
      <c r="E175" s="1">
        <v>1.0</v>
      </c>
      <c r="F175" s="1">
        <v>29.0</v>
      </c>
      <c r="G175" s="1" t="s">
        <v>12</v>
      </c>
    </row>
    <row r="176">
      <c r="A176" s="1" t="s">
        <v>11</v>
      </c>
      <c r="B176" s="2">
        <v>42034.0</v>
      </c>
      <c r="C176" s="1">
        <v>256.0</v>
      </c>
      <c r="D176" s="1">
        <v>2016.0</v>
      </c>
      <c r="E176" s="1">
        <v>1.0</v>
      </c>
      <c r="F176" s="1">
        <v>30.0</v>
      </c>
      <c r="G176" s="1" t="s">
        <v>20</v>
      </c>
    </row>
    <row r="177">
      <c r="A177" s="1" t="s">
        <v>19</v>
      </c>
      <c r="B177" s="2">
        <v>42034.0</v>
      </c>
      <c r="C177" s="1">
        <v>1501.0</v>
      </c>
      <c r="D177" s="1">
        <v>14793.0</v>
      </c>
      <c r="E177" s="1">
        <v>1.0</v>
      </c>
      <c r="F177" s="1">
        <v>30.0</v>
      </c>
      <c r="G177" s="1" t="s">
        <v>20</v>
      </c>
    </row>
    <row r="178">
      <c r="A178" s="1" t="s">
        <v>18</v>
      </c>
      <c r="B178" s="2">
        <v>42034.0</v>
      </c>
      <c r="C178" s="1">
        <v>1384.0</v>
      </c>
      <c r="D178" s="1">
        <v>13852.0</v>
      </c>
      <c r="E178" s="1">
        <v>1.0</v>
      </c>
      <c r="F178" s="1">
        <v>30.0</v>
      </c>
      <c r="G178" s="1" t="s">
        <v>20</v>
      </c>
    </row>
    <row r="179">
      <c r="A179" s="1" t="s">
        <v>16</v>
      </c>
      <c r="B179" s="2">
        <v>42034.0</v>
      </c>
      <c r="C179" s="1">
        <v>4124.0</v>
      </c>
      <c r="D179" s="1">
        <v>39110.0</v>
      </c>
      <c r="E179" s="1">
        <v>1.0</v>
      </c>
      <c r="F179" s="1">
        <v>30.0</v>
      </c>
      <c r="G179" s="1" t="s">
        <v>20</v>
      </c>
    </row>
    <row r="180">
      <c r="A180" s="1" t="s">
        <v>14</v>
      </c>
      <c r="B180" s="2">
        <v>42034.0</v>
      </c>
      <c r="C180" s="1">
        <v>322.0</v>
      </c>
      <c r="D180" s="1">
        <v>2785.0</v>
      </c>
      <c r="E180" s="1">
        <v>1.0</v>
      </c>
      <c r="F180" s="1">
        <v>30.0</v>
      </c>
      <c r="G180" s="1" t="s">
        <v>20</v>
      </c>
    </row>
    <row r="181">
      <c r="A181" s="1" t="s">
        <v>21</v>
      </c>
      <c r="B181" s="2">
        <v>42034.0</v>
      </c>
      <c r="C181" s="1">
        <v>1106.0</v>
      </c>
      <c r="D181" s="1">
        <v>11167.0</v>
      </c>
      <c r="E181" s="1">
        <v>1.0</v>
      </c>
      <c r="F181" s="1">
        <v>30.0</v>
      </c>
      <c r="G181" s="1" t="s">
        <v>20</v>
      </c>
    </row>
    <row r="182">
      <c r="A182" s="1" t="s">
        <v>14</v>
      </c>
      <c r="B182" s="2">
        <v>42035.0</v>
      </c>
      <c r="C182" s="1">
        <v>309.0</v>
      </c>
      <c r="D182" s="1">
        <v>3282.0</v>
      </c>
      <c r="E182" s="1">
        <v>1.0</v>
      </c>
      <c r="F182" s="1">
        <v>31.0</v>
      </c>
      <c r="G182" s="1" t="s">
        <v>22</v>
      </c>
    </row>
    <row r="183">
      <c r="A183" s="1" t="s">
        <v>11</v>
      </c>
      <c r="B183" s="2">
        <v>42035.0</v>
      </c>
      <c r="C183" s="1">
        <v>225.0</v>
      </c>
      <c r="D183" s="1">
        <v>1892.0</v>
      </c>
      <c r="E183" s="1">
        <v>1.0</v>
      </c>
      <c r="F183" s="1">
        <v>31.0</v>
      </c>
      <c r="G183" s="1" t="s">
        <v>22</v>
      </c>
    </row>
    <row r="184">
      <c r="A184" s="1" t="s">
        <v>19</v>
      </c>
      <c r="B184" s="2">
        <v>42035.0</v>
      </c>
      <c r="C184" s="1">
        <v>1394.0</v>
      </c>
      <c r="D184" s="1">
        <v>15756.0</v>
      </c>
      <c r="E184" s="1">
        <v>1.0</v>
      </c>
      <c r="F184" s="1">
        <v>31.0</v>
      </c>
      <c r="G184" s="1" t="s">
        <v>22</v>
      </c>
    </row>
    <row r="185">
      <c r="A185" s="1" t="s">
        <v>18</v>
      </c>
      <c r="B185" s="2">
        <v>42035.0</v>
      </c>
      <c r="C185" s="1">
        <v>1321.0</v>
      </c>
      <c r="D185" s="1">
        <v>15388.0</v>
      </c>
      <c r="E185" s="1">
        <v>1.0</v>
      </c>
      <c r="F185" s="1">
        <v>31.0</v>
      </c>
      <c r="G185" s="1" t="s">
        <v>22</v>
      </c>
    </row>
    <row r="186">
      <c r="A186" s="1" t="s">
        <v>16</v>
      </c>
      <c r="B186" s="2">
        <v>42035.0</v>
      </c>
      <c r="C186" s="1">
        <v>3947.0</v>
      </c>
      <c r="D186" s="1">
        <v>44297.0</v>
      </c>
      <c r="E186" s="1">
        <v>1.0</v>
      </c>
      <c r="F186" s="1">
        <v>31.0</v>
      </c>
      <c r="G186" s="1" t="s">
        <v>22</v>
      </c>
    </row>
    <row r="187">
      <c r="A187" s="1" t="s">
        <v>21</v>
      </c>
      <c r="B187" s="2">
        <v>42035.0</v>
      </c>
      <c r="C187" s="1">
        <v>1027.0</v>
      </c>
      <c r="D187" s="1">
        <v>11642.0</v>
      </c>
      <c r="E187" s="1">
        <v>1.0</v>
      </c>
      <c r="F187" s="1">
        <v>31.0</v>
      </c>
      <c r="G187" s="1" t="s">
        <v>22</v>
      </c>
    </row>
    <row r="188">
      <c r="A188" s="1" t="s">
        <v>21</v>
      </c>
      <c r="B188" s="2">
        <v>42036.0</v>
      </c>
      <c r="C188" s="1">
        <v>961.0</v>
      </c>
      <c r="D188" s="1">
        <v>9499.0</v>
      </c>
      <c r="E188" s="1">
        <v>2.0</v>
      </c>
      <c r="F188" s="1">
        <v>1.0</v>
      </c>
      <c r="G188" s="1" t="s">
        <v>23</v>
      </c>
    </row>
    <row r="189">
      <c r="A189" s="1" t="s">
        <v>18</v>
      </c>
      <c r="B189" s="2">
        <v>42036.0</v>
      </c>
      <c r="C189" s="1">
        <v>1214.0</v>
      </c>
      <c r="D189" s="1">
        <v>12436.0</v>
      </c>
      <c r="E189" s="1">
        <v>2.0</v>
      </c>
      <c r="F189" s="1">
        <v>1.0</v>
      </c>
      <c r="G189" s="1" t="s">
        <v>23</v>
      </c>
    </row>
    <row r="190">
      <c r="A190" s="1" t="s">
        <v>11</v>
      </c>
      <c r="B190" s="2">
        <v>42036.0</v>
      </c>
      <c r="C190" s="1">
        <v>193.0</v>
      </c>
      <c r="D190" s="1">
        <v>1377.0</v>
      </c>
      <c r="E190" s="1">
        <v>2.0</v>
      </c>
      <c r="F190" s="1">
        <v>1.0</v>
      </c>
      <c r="G190" s="1" t="s">
        <v>23</v>
      </c>
    </row>
    <row r="191">
      <c r="A191" s="1" t="s">
        <v>14</v>
      </c>
      <c r="B191" s="2">
        <v>42036.0</v>
      </c>
      <c r="C191" s="1">
        <v>289.0</v>
      </c>
      <c r="D191" s="1">
        <v>2672.0</v>
      </c>
      <c r="E191" s="1">
        <v>2.0</v>
      </c>
      <c r="F191" s="1">
        <v>1.0</v>
      </c>
      <c r="G191" s="1" t="s">
        <v>23</v>
      </c>
    </row>
    <row r="192">
      <c r="A192" s="1" t="s">
        <v>19</v>
      </c>
      <c r="B192" s="2">
        <v>42036.0</v>
      </c>
      <c r="C192" s="1">
        <v>1355.0</v>
      </c>
      <c r="D192" s="1">
        <v>13458.0</v>
      </c>
      <c r="E192" s="1">
        <v>2.0</v>
      </c>
      <c r="F192" s="1">
        <v>1.0</v>
      </c>
      <c r="G192" s="1" t="s">
        <v>23</v>
      </c>
    </row>
    <row r="193">
      <c r="A193" s="1" t="s">
        <v>16</v>
      </c>
      <c r="B193" s="2">
        <v>42036.0</v>
      </c>
      <c r="C193" s="1">
        <v>3740.0</v>
      </c>
      <c r="D193" s="1">
        <v>37468.0</v>
      </c>
      <c r="E193" s="1">
        <v>2.0</v>
      </c>
      <c r="F193" s="1">
        <v>1.0</v>
      </c>
      <c r="G193" s="1" t="s">
        <v>23</v>
      </c>
    </row>
    <row r="194">
      <c r="A194" s="1" t="s">
        <v>19</v>
      </c>
      <c r="B194" s="2">
        <v>42037.0</v>
      </c>
      <c r="C194" s="1">
        <v>1217.0</v>
      </c>
      <c r="D194" s="1">
        <v>12216.0</v>
      </c>
      <c r="E194" s="1">
        <v>2.0</v>
      </c>
      <c r="F194" s="1">
        <v>2.0</v>
      </c>
      <c r="G194" s="1" t="s">
        <v>13</v>
      </c>
    </row>
    <row r="195">
      <c r="A195" s="1" t="s">
        <v>18</v>
      </c>
      <c r="B195" s="2">
        <v>42037.0</v>
      </c>
      <c r="C195" s="1">
        <v>1152.0</v>
      </c>
      <c r="D195" s="1">
        <v>11981.0</v>
      </c>
      <c r="E195" s="1">
        <v>2.0</v>
      </c>
      <c r="F195" s="1">
        <v>2.0</v>
      </c>
      <c r="G195" s="1" t="s">
        <v>13</v>
      </c>
    </row>
    <row r="196">
      <c r="A196" s="1" t="s">
        <v>14</v>
      </c>
      <c r="B196" s="2">
        <v>42037.0</v>
      </c>
      <c r="C196" s="1">
        <v>275.0</v>
      </c>
      <c r="D196" s="1">
        <v>2607.0</v>
      </c>
      <c r="E196" s="1">
        <v>2.0</v>
      </c>
      <c r="F196" s="1">
        <v>2.0</v>
      </c>
      <c r="G196" s="1" t="s">
        <v>13</v>
      </c>
    </row>
    <row r="197">
      <c r="A197" s="1" t="s">
        <v>21</v>
      </c>
      <c r="B197" s="2">
        <v>42037.0</v>
      </c>
      <c r="C197" s="1">
        <v>939.0</v>
      </c>
      <c r="D197" s="1">
        <v>9511.0</v>
      </c>
      <c r="E197" s="1">
        <v>2.0</v>
      </c>
      <c r="F197" s="1">
        <v>2.0</v>
      </c>
      <c r="G197" s="1" t="s">
        <v>13</v>
      </c>
    </row>
    <row r="198">
      <c r="A198" s="1" t="s">
        <v>16</v>
      </c>
      <c r="B198" s="2">
        <v>42037.0</v>
      </c>
      <c r="C198" s="1">
        <v>3270.0</v>
      </c>
      <c r="D198" s="1">
        <v>30761.0</v>
      </c>
      <c r="E198" s="1">
        <v>2.0</v>
      </c>
      <c r="F198" s="1">
        <v>2.0</v>
      </c>
      <c r="G198" s="1" t="s">
        <v>13</v>
      </c>
    </row>
    <row r="199">
      <c r="A199" s="1" t="s">
        <v>11</v>
      </c>
      <c r="B199" s="2">
        <v>42037.0</v>
      </c>
      <c r="C199" s="1">
        <v>227.0</v>
      </c>
      <c r="D199" s="1">
        <v>1904.0</v>
      </c>
      <c r="E199" s="1">
        <v>2.0</v>
      </c>
      <c r="F199" s="1">
        <v>2.0</v>
      </c>
      <c r="G199" s="1" t="s">
        <v>13</v>
      </c>
    </row>
    <row r="200">
      <c r="A200" s="1" t="s">
        <v>14</v>
      </c>
      <c r="B200" s="2">
        <v>42038.0</v>
      </c>
      <c r="C200" s="1">
        <v>299.0</v>
      </c>
      <c r="D200" s="1">
        <v>2410.0</v>
      </c>
      <c r="E200" s="1">
        <v>2.0</v>
      </c>
      <c r="F200" s="1">
        <v>3.0</v>
      </c>
      <c r="G200" s="1" t="s">
        <v>15</v>
      </c>
    </row>
    <row r="201">
      <c r="A201" s="1" t="s">
        <v>21</v>
      </c>
      <c r="B201" s="2">
        <v>42038.0</v>
      </c>
      <c r="C201" s="1">
        <v>991.0</v>
      </c>
      <c r="D201" s="1">
        <v>9602.0</v>
      </c>
      <c r="E201" s="1">
        <v>2.0</v>
      </c>
      <c r="F201" s="1">
        <v>3.0</v>
      </c>
      <c r="G201" s="1" t="s">
        <v>15</v>
      </c>
    </row>
    <row r="202">
      <c r="A202" s="1" t="s">
        <v>11</v>
      </c>
      <c r="B202" s="2">
        <v>42038.0</v>
      </c>
      <c r="C202" s="1">
        <v>257.0</v>
      </c>
      <c r="D202" s="1">
        <v>1915.0</v>
      </c>
      <c r="E202" s="1">
        <v>2.0</v>
      </c>
      <c r="F202" s="1">
        <v>3.0</v>
      </c>
      <c r="G202" s="1" t="s">
        <v>15</v>
      </c>
    </row>
    <row r="203">
      <c r="A203" s="1" t="s">
        <v>16</v>
      </c>
      <c r="B203" s="2">
        <v>42038.0</v>
      </c>
      <c r="C203" s="1">
        <v>3674.0</v>
      </c>
      <c r="D203" s="1">
        <v>31641.0</v>
      </c>
      <c r="E203" s="1">
        <v>2.0</v>
      </c>
      <c r="F203" s="1">
        <v>3.0</v>
      </c>
      <c r="G203" s="1" t="s">
        <v>15</v>
      </c>
    </row>
    <row r="204">
      <c r="A204" s="1" t="s">
        <v>19</v>
      </c>
      <c r="B204" s="2">
        <v>42038.0</v>
      </c>
      <c r="C204" s="1">
        <v>1350.0</v>
      </c>
      <c r="D204" s="1">
        <v>12665.0</v>
      </c>
      <c r="E204" s="1">
        <v>2.0</v>
      </c>
      <c r="F204" s="1">
        <v>3.0</v>
      </c>
      <c r="G204" s="1" t="s">
        <v>15</v>
      </c>
    </row>
    <row r="205">
      <c r="A205" s="1" t="s">
        <v>18</v>
      </c>
      <c r="B205" s="2">
        <v>42038.0</v>
      </c>
      <c r="C205" s="1">
        <v>1269.0</v>
      </c>
      <c r="D205" s="1">
        <v>11955.0</v>
      </c>
      <c r="E205" s="1">
        <v>2.0</v>
      </c>
      <c r="F205" s="1">
        <v>3.0</v>
      </c>
      <c r="G205" s="1" t="s">
        <v>15</v>
      </c>
    </row>
    <row r="206">
      <c r="A206" s="1" t="s">
        <v>16</v>
      </c>
      <c r="B206" s="2">
        <v>42039.0</v>
      </c>
      <c r="C206" s="1">
        <v>3856.0</v>
      </c>
      <c r="D206" s="1">
        <v>29994.0</v>
      </c>
      <c r="E206" s="1">
        <v>2.0</v>
      </c>
      <c r="F206" s="1">
        <v>4.0</v>
      </c>
      <c r="G206" s="1" t="s">
        <v>17</v>
      </c>
    </row>
    <row r="207">
      <c r="A207" s="1" t="s">
        <v>14</v>
      </c>
      <c r="B207" s="2">
        <v>42039.0</v>
      </c>
      <c r="C207" s="1">
        <v>309.0</v>
      </c>
      <c r="D207" s="1">
        <v>2334.0</v>
      </c>
      <c r="E207" s="1">
        <v>2.0</v>
      </c>
      <c r="F207" s="1">
        <v>4.0</v>
      </c>
      <c r="G207" s="1" t="s">
        <v>17</v>
      </c>
    </row>
    <row r="208">
      <c r="A208" s="1" t="s">
        <v>11</v>
      </c>
      <c r="B208" s="2">
        <v>42039.0</v>
      </c>
      <c r="C208" s="1">
        <v>244.0</v>
      </c>
      <c r="D208" s="1">
        <v>1639.0</v>
      </c>
      <c r="E208" s="1">
        <v>2.0</v>
      </c>
      <c r="F208" s="1">
        <v>4.0</v>
      </c>
      <c r="G208" s="1" t="s">
        <v>17</v>
      </c>
    </row>
    <row r="209">
      <c r="A209" s="1" t="s">
        <v>18</v>
      </c>
      <c r="B209" s="2">
        <v>42039.0</v>
      </c>
      <c r="C209" s="1">
        <v>1311.0</v>
      </c>
      <c r="D209" s="1">
        <v>11309.0</v>
      </c>
      <c r="E209" s="1">
        <v>2.0</v>
      </c>
      <c r="F209" s="1">
        <v>4.0</v>
      </c>
      <c r="G209" s="1" t="s">
        <v>17</v>
      </c>
    </row>
    <row r="210">
      <c r="A210" s="1" t="s">
        <v>19</v>
      </c>
      <c r="B210" s="2">
        <v>42039.0</v>
      </c>
      <c r="C210" s="1">
        <v>1393.0</v>
      </c>
      <c r="D210" s="1">
        <v>11959.0</v>
      </c>
      <c r="E210" s="1">
        <v>2.0</v>
      </c>
      <c r="F210" s="1">
        <v>4.0</v>
      </c>
      <c r="G210" s="1" t="s">
        <v>17</v>
      </c>
    </row>
    <row r="211">
      <c r="A211" s="1" t="s">
        <v>21</v>
      </c>
      <c r="B211" s="2">
        <v>42039.0</v>
      </c>
      <c r="C211" s="1">
        <v>1072.0</v>
      </c>
      <c r="D211" s="1">
        <v>9600.0</v>
      </c>
      <c r="E211" s="1">
        <v>2.0</v>
      </c>
      <c r="F211" s="1">
        <v>4.0</v>
      </c>
      <c r="G211" s="1" t="s">
        <v>17</v>
      </c>
    </row>
    <row r="212">
      <c r="A212" s="1" t="s">
        <v>19</v>
      </c>
      <c r="B212" s="2">
        <v>42040.0</v>
      </c>
      <c r="C212" s="1">
        <v>1524.0</v>
      </c>
      <c r="D212" s="1">
        <v>14499.0</v>
      </c>
      <c r="E212" s="1">
        <v>2.0</v>
      </c>
      <c r="F212" s="1">
        <v>5.0</v>
      </c>
      <c r="G212" s="1" t="s">
        <v>12</v>
      </c>
    </row>
    <row r="213">
      <c r="A213" s="1" t="s">
        <v>18</v>
      </c>
      <c r="B213" s="2">
        <v>42040.0</v>
      </c>
      <c r="C213" s="1">
        <v>1418.0</v>
      </c>
      <c r="D213" s="1">
        <v>13782.0</v>
      </c>
      <c r="E213" s="1">
        <v>2.0</v>
      </c>
      <c r="F213" s="1">
        <v>5.0</v>
      </c>
      <c r="G213" s="1" t="s">
        <v>12</v>
      </c>
    </row>
    <row r="214">
      <c r="A214" s="1" t="s">
        <v>21</v>
      </c>
      <c r="B214" s="2">
        <v>42040.0</v>
      </c>
      <c r="C214" s="1">
        <v>1179.0</v>
      </c>
      <c r="D214" s="1">
        <v>11609.0</v>
      </c>
      <c r="E214" s="1">
        <v>2.0</v>
      </c>
      <c r="F214" s="1">
        <v>5.0</v>
      </c>
      <c r="G214" s="1" t="s">
        <v>12</v>
      </c>
    </row>
    <row r="215">
      <c r="A215" s="1" t="s">
        <v>11</v>
      </c>
      <c r="B215" s="2">
        <v>42040.0</v>
      </c>
      <c r="C215" s="1">
        <v>264.0</v>
      </c>
      <c r="D215" s="1">
        <v>2022.0</v>
      </c>
      <c r="E215" s="1">
        <v>2.0</v>
      </c>
      <c r="F215" s="1">
        <v>5.0</v>
      </c>
      <c r="G215" s="1" t="s">
        <v>12</v>
      </c>
    </row>
    <row r="216">
      <c r="A216" s="1" t="s">
        <v>14</v>
      </c>
      <c r="B216" s="2">
        <v>42040.0</v>
      </c>
      <c r="C216" s="1">
        <v>355.0</v>
      </c>
      <c r="D216" s="1">
        <v>3011.0</v>
      </c>
      <c r="E216" s="1">
        <v>2.0</v>
      </c>
      <c r="F216" s="1">
        <v>5.0</v>
      </c>
      <c r="G216" s="1" t="s">
        <v>12</v>
      </c>
    </row>
    <row r="217">
      <c r="A217" s="1" t="s">
        <v>16</v>
      </c>
      <c r="B217" s="2">
        <v>42040.0</v>
      </c>
      <c r="C217" s="1">
        <v>4093.0</v>
      </c>
      <c r="D217" s="1">
        <v>35990.0</v>
      </c>
      <c r="E217" s="1">
        <v>2.0</v>
      </c>
      <c r="F217" s="1">
        <v>5.0</v>
      </c>
      <c r="G217" s="1" t="s">
        <v>12</v>
      </c>
    </row>
    <row r="218">
      <c r="A218" s="1" t="s">
        <v>19</v>
      </c>
      <c r="B218" s="2">
        <v>42041.0</v>
      </c>
      <c r="C218" s="1">
        <v>1526.0</v>
      </c>
      <c r="D218" s="1">
        <v>15417.0</v>
      </c>
      <c r="E218" s="1">
        <v>2.0</v>
      </c>
      <c r="F218" s="1">
        <v>6.0</v>
      </c>
      <c r="G218" s="1" t="s">
        <v>20</v>
      </c>
    </row>
    <row r="219">
      <c r="A219" s="1" t="s">
        <v>14</v>
      </c>
      <c r="B219" s="2">
        <v>42041.0</v>
      </c>
      <c r="C219" s="1">
        <v>385.0</v>
      </c>
      <c r="D219" s="1">
        <v>3569.0</v>
      </c>
      <c r="E219" s="1">
        <v>2.0</v>
      </c>
      <c r="F219" s="1">
        <v>6.0</v>
      </c>
      <c r="G219" s="1" t="s">
        <v>20</v>
      </c>
    </row>
    <row r="220">
      <c r="A220" s="1" t="s">
        <v>21</v>
      </c>
      <c r="B220" s="2">
        <v>42041.0</v>
      </c>
      <c r="C220" s="1">
        <v>1181.0</v>
      </c>
      <c r="D220" s="1">
        <v>11897.0</v>
      </c>
      <c r="E220" s="1">
        <v>2.0</v>
      </c>
      <c r="F220" s="1">
        <v>6.0</v>
      </c>
      <c r="G220" s="1" t="s">
        <v>20</v>
      </c>
    </row>
    <row r="221">
      <c r="A221" s="1" t="s">
        <v>11</v>
      </c>
      <c r="B221" s="2">
        <v>42041.0</v>
      </c>
      <c r="C221" s="1">
        <v>261.0</v>
      </c>
      <c r="D221" s="1">
        <v>1989.0</v>
      </c>
      <c r="E221" s="1">
        <v>2.0</v>
      </c>
      <c r="F221" s="1">
        <v>6.0</v>
      </c>
      <c r="G221" s="1" t="s">
        <v>20</v>
      </c>
    </row>
    <row r="222">
      <c r="A222" s="1" t="s">
        <v>16</v>
      </c>
      <c r="B222" s="2">
        <v>42041.0</v>
      </c>
      <c r="C222" s="1">
        <v>4170.0</v>
      </c>
      <c r="D222" s="1">
        <v>38693.0</v>
      </c>
      <c r="E222" s="1">
        <v>2.0</v>
      </c>
      <c r="F222" s="1">
        <v>6.0</v>
      </c>
      <c r="G222" s="1" t="s">
        <v>20</v>
      </c>
    </row>
    <row r="223">
      <c r="A223" s="1" t="s">
        <v>18</v>
      </c>
      <c r="B223" s="2">
        <v>42041.0</v>
      </c>
      <c r="C223" s="1">
        <v>1414.0</v>
      </c>
      <c r="D223" s="1">
        <v>14375.0</v>
      </c>
      <c r="E223" s="1">
        <v>2.0</v>
      </c>
      <c r="F223" s="1">
        <v>6.0</v>
      </c>
      <c r="G223" s="1" t="s">
        <v>20</v>
      </c>
    </row>
    <row r="224">
      <c r="A224" s="1" t="s">
        <v>21</v>
      </c>
      <c r="B224" s="2">
        <v>42042.0</v>
      </c>
      <c r="C224" s="1">
        <v>1031.0</v>
      </c>
      <c r="D224" s="1">
        <v>10512.0</v>
      </c>
      <c r="E224" s="1">
        <v>2.0</v>
      </c>
      <c r="F224" s="1">
        <v>7.0</v>
      </c>
      <c r="G224" s="1" t="s">
        <v>22</v>
      </c>
    </row>
    <row r="225">
      <c r="A225" s="1" t="s">
        <v>11</v>
      </c>
      <c r="B225" s="2">
        <v>42042.0</v>
      </c>
      <c r="C225" s="1">
        <v>211.0</v>
      </c>
      <c r="D225" s="1">
        <v>1504.0</v>
      </c>
      <c r="E225" s="1">
        <v>2.0</v>
      </c>
      <c r="F225" s="1">
        <v>7.0</v>
      </c>
      <c r="G225" s="1" t="s">
        <v>22</v>
      </c>
    </row>
    <row r="226">
      <c r="A226" s="1" t="s">
        <v>19</v>
      </c>
      <c r="B226" s="2">
        <v>42042.0</v>
      </c>
      <c r="C226" s="1">
        <v>1383.0</v>
      </c>
      <c r="D226" s="1">
        <v>13688.0</v>
      </c>
      <c r="E226" s="1">
        <v>2.0</v>
      </c>
      <c r="F226" s="1">
        <v>7.0</v>
      </c>
      <c r="G226" s="1" t="s">
        <v>22</v>
      </c>
    </row>
    <row r="227">
      <c r="A227" s="1" t="s">
        <v>18</v>
      </c>
      <c r="B227" s="2">
        <v>42042.0</v>
      </c>
      <c r="C227" s="1">
        <v>1300.0</v>
      </c>
      <c r="D227" s="1">
        <v>13450.0</v>
      </c>
      <c r="E227" s="1">
        <v>2.0</v>
      </c>
      <c r="F227" s="1">
        <v>7.0</v>
      </c>
      <c r="G227" s="1" t="s">
        <v>22</v>
      </c>
    </row>
    <row r="228">
      <c r="A228" s="1" t="s">
        <v>16</v>
      </c>
      <c r="B228" s="2">
        <v>42042.0</v>
      </c>
      <c r="C228" s="1">
        <v>3849.0</v>
      </c>
      <c r="D228" s="1">
        <v>38530.0</v>
      </c>
      <c r="E228" s="1">
        <v>2.0</v>
      </c>
      <c r="F228" s="1">
        <v>7.0</v>
      </c>
      <c r="G228" s="1" t="s">
        <v>22</v>
      </c>
    </row>
    <row r="229">
      <c r="A229" s="1" t="s">
        <v>14</v>
      </c>
      <c r="B229" s="2">
        <v>42042.0</v>
      </c>
      <c r="C229" s="1">
        <v>345.0</v>
      </c>
      <c r="D229" s="1">
        <v>3473.0</v>
      </c>
      <c r="E229" s="1">
        <v>2.0</v>
      </c>
      <c r="F229" s="1">
        <v>7.0</v>
      </c>
      <c r="G229" s="1" t="s">
        <v>22</v>
      </c>
    </row>
    <row r="230">
      <c r="A230" s="1" t="s">
        <v>16</v>
      </c>
      <c r="B230" s="2">
        <v>42043.0</v>
      </c>
      <c r="C230" s="1">
        <v>3422.0</v>
      </c>
      <c r="D230" s="1">
        <v>29692.0</v>
      </c>
      <c r="E230" s="1">
        <v>2.0</v>
      </c>
      <c r="F230" s="1">
        <v>8.0</v>
      </c>
      <c r="G230" s="1" t="s">
        <v>23</v>
      </c>
    </row>
    <row r="231">
      <c r="A231" s="1" t="s">
        <v>14</v>
      </c>
      <c r="B231" s="2">
        <v>42043.0</v>
      </c>
      <c r="C231" s="1">
        <v>313.0</v>
      </c>
      <c r="D231" s="1">
        <v>2623.0</v>
      </c>
      <c r="E231" s="1">
        <v>2.0</v>
      </c>
      <c r="F231" s="1">
        <v>8.0</v>
      </c>
      <c r="G231" s="1" t="s">
        <v>23</v>
      </c>
    </row>
    <row r="232">
      <c r="A232" s="1" t="s">
        <v>21</v>
      </c>
      <c r="B232" s="2">
        <v>42043.0</v>
      </c>
      <c r="C232" s="1">
        <v>923.0</v>
      </c>
      <c r="D232" s="1">
        <v>8129.0</v>
      </c>
      <c r="E232" s="1">
        <v>2.0</v>
      </c>
      <c r="F232" s="1">
        <v>8.0</v>
      </c>
      <c r="G232" s="1" t="s">
        <v>23</v>
      </c>
    </row>
    <row r="233">
      <c r="A233" s="1" t="s">
        <v>19</v>
      </c>
      <c r="B233" s="2">
        <v>42043.0</v>
      </c>
      <c r="C233" s="1">
        <v>1256.0</v>
      </c>
      <c r="D233" s="1">
        <v>11004.0</v>
      </c>
      <c r="E233" s="1">
        <v>2.0</v>
      </c>
      <c r="F233" s="1">
        <v>8.0</v>
      </c>
      <c r="G233" s="1" t="s">
        <v>23</v>
      </c>
    </row>
    <row r="234">
      <c r="A234" s="1" t="s">
        <v>18</v>
      </c>
      <c r="B234" s="2">
        <v>42043.0</v>
      </c>
      <c r="C234" s="1">
        <v>1136.0</v>
      </c>
      <c r="D234" s="1">
        <v>10356.0</v>
      </c>
      <c r="E234" s="1">
        <v>2.0</v>
      </c>
      <c r="F234" s="1">
        <v>8.0</v>
      </c>
      <c r="G234" s="1" t="s">
        <v>23</v>
      </c>
    </row>
    <row r="235">
      <c r="A235" s="1" t="s">
        <v>11</v>
      </c>
      <c r="B235" s="2">
        <v>42043.0</v>
      </c>
      <c r="C235" s="1">
        <v>176.0</v>
      </c>
      <c r="D235" s="1">
        <v>1196.0</v>
      </c>
      <c r="E235" s="1">
        <v>2.0</v>
      </c>
      <c r="F235" s="1">
        <v>8.0</v>
      </c>
      <c r="G235" s="1" t="s">
        <v>23</v>
      </c>
    </row>
    <row r="236">
      <c r="A236" s="1" t="s">
        <v>19</v>
      </c>
      <c r="B236" s="2">
        <v>42044.0</v>
      </c>
      <c r="C236" s="1">
        <v>1312.0</v>
      </c>
      <c r="D236" s="1">
        <v>10887.0</v>
      </c>
      <c r="E236" s="1">
        <v>2.0</v>
      </c>
      <c r="F236" s="1">
        <v>9.0</v>
      </c>
      <c r="G236" s="1" t="s">
        <v>13</v>
      </c>
    </row>
    <row r="237">
      <c r="A237" s="1" t="s">
        <v>18</v>
      </c>
      <c r="B237" s="2">
        <v>42044.0</v>
      </c>
      <c r="C237" s="1">
        <v>1241.0</v>
      </c>
      <c r="D237" s="1">
        <v>10209.0</v>
      </c>
      <c r="E237" s="1">
        <v>2.0</v>
      </c>
      <c r="F237" s="1">
        <v>9.0</v>
      </c>
      <c r="G237" s="1" t="s">
        <v>13</v>
      </c>
    </row>
    <row r="238">
      <c r="A238" s="1" t="s">
        <v>21</v>
      </c>
      <c r="B238" s="2">
        <v>42044.0</v>
      </c>
      <c r="C238" s="1">
        <v>976.0</v>
      </c>
      <c r="D238" s="1">
        <v>8135.0</v>
      </c>
      <c r="E238" s="1">
        <v>2.0</v>
      </c>
      <c r="F238" s="1">
        <v>9.0</v>
      </c>
      <c r="G238" s="1" t="s">
        <v>13</v>
      </c>
    </row>
    <row r="239">
      <c r="A239" s="1" t="s">
        <v>16</v>
      </c>
      <c r="B239" s="2">
        <v>42044.0</v>
      </c>
      <c r="C239" s="1">
        <v>3543.0</v>
      </c>
      <c r="D239" s="1">
        <v>28266.0</v>
      </c>
      <c r="E239" s="1">
        <v>2.0</v>
      </c>
      <c r="F239" s="1">
        <v>9.0</v>
      </c>
      <c r="G239" s="1" t="s">
        <v>13</v>
      </c>
    </row>
    <row r="240">
      <c r="A240" s="1" t="s">
        <v>11</v>
      </c>
      <c r="B240" s="2">
        <v>42044.0</v>
      </c>
      <c r="C240" s="1">
        <v>228.0</v>
      </c>
      <c r="D240" s="1">
        <v>1565.0</v>
      </c>
      <c r="E240" s="1">
        <v>2.0</v>
      </c>
      <c r="F240" s="1">
        <v>9.0</v>
      </c>
      <c r="G240" s="1" t="s">
        <v>13</v>
      </c>
    </row>
    <row r="241">
      <c r="A241" s="1" t="s">
        <v>14</v>
      </c>
      <c r="B241" s="2">
        <v>42044.0</v>
      </c>
      <c r="C241" s="1">
        <v>388.0</v>
      </c>
      <c r="D241" s="1">
        <v>2894.0</v>
      </c>
      <c r="E241" s="1">
        <v>2.0</v>
      </c>
      <c r="F241" s="1">
        <v>9.0</v>
      </c>
      <c r="G241" s="1" t="s">
        <v>13</v>
      </c>
    </row>
    <row r="242">
      <c r="A242" s="1" t="s">
        <v>16</v>
      </c>
      <c r="B242" s="2">
        <v>42045.0</v>
      </c>
      <c r="C242" s="1">
        <v>3700.0</v>
      </c>
      <c r="D242" s="1">
        <v>29124.0</v>
      </c>
      <c r="E242" s="1">
        <v>2.0</v>
      </c>
      <c r="F242" s="1">
        <v>10.0</v>
      </c>
      <c r="G242" s="1" t="s">
        <v>15</v>
      </c>
    </row>
    <row r="243">
      <c r="A243" s="1" t="s">
        <v>11</v>
      </c>
      <c r="B243" s="2">
        <v>42045.0</v>
      </c>
      <c r="C243" s="1">
        <v>233.0</v>
      </c>
      <c r="D243" s="1">
        <v>1555.0</v>
      </c>
      <c r="E243" s="1">
        <v>2.0</v>
      </c>
      <c r="F243" s="1">
        <v>10.0</v>
      </c>
      <c r="G243" s="1" t="s">
        <v>15</v>
      </c>
    </row>
    <row r="244">
      <c r="A244" s="1" t="s">
        <v>19</v>
      </c>
      <c r="B244" s="2">
        <v>42045.0</v>
      </c>
      <c r="C244" s="1">
        <v>1364.0</v>
      </c>
      <c r="D244" s="1">
        <v>11401.0</v>
      </c>
      <c r="E244" s="1">
        <v>2.0</v>
      </c>
      <c r="F244" s="1">
        <v>10.0</v>
      </c>
      <c r="G244" s="1" t="s">
        <v>15</v>
      </c>
    </row>
    <row r="245">
      <c r="A245" s="1" t="s">
        <v>14</v>
      </c>
      <c r="B245" s="2">
        <v>42045.0</v>
      </c>
      <c r="C245" s="1">
        <v>422.0</v>
      </c>
      <c r="D245" s="1">
        <v>3432.0</v>
      </c>
      <c r="E245" s="1">
        <v>2.0</v>
      </c>
      <c r="F245" s="1">
        <v>10.0</v>
      </c>
      <c r="G245" s="1" t="s">
        <v>15</v>
      </c>
    </row>
    <row r="246">
      <c r="A246" s="1" t="s">
        <v>18</v>
      </c>
      <c r="B246" s="2">
        <v>42045.0</v>
      </c>
      <c r="C246" s="1">
        <v>1281.0</v>
      </c>
      <c r="D246" s="1">
        <v>10536.0</v>
      </c>
      <c r="E246" s="1">
        <v>2.0</v>
      </c>
      <c r="F246" s="1">
        <v>10.0</v>
      </c>
      <c r="G246" s="1" t="s">
        <v>15</v>
      </c>
    </row>
    <row r="247">
      <c r="A247" s="1" t="s">
        <v>21</v>
      </c>
      <c r="B247" s="2">
        <v>42045.0</v>
      </c>
      <c r="C247" s="1">
        <v>1029.0</v>
      </c>
      <c r="D247" s="1">
        <v>8718.0</v>
      </c>
      <c r="E247" s="1">
        <v>2.0</v>
      </c>
      <c r="F247" s="1">
        <v>10.0</v>
      </c>
      <c r="G247" s="1" t="s">
        <v>15</v>
      </c>
    </row>
    <row r="248">
      <c r="A248" s="1" t="s">
        <v>19</v>
      </c>
      <c r="B248" s="2">
        <v>42046.0</v>
      </c>
      <c r="C248" s="1">
        <v>1450.0</v>
      </c>
      <c r="D248" s="1">
        <v>12749.0</v>
      </c>
      <c r="E248" s="1">
        <v>2.0</v>
      </c>
      <c r="F248" s="1">
        <v>11.0</v>
      </c>
      <c r="G248" s="1" t="s">
        <v>17</v>
      </c>
    </row>
    <row r="249">
      <c r="A249" s="1" t="s">
        <v>16</v>
      </c>
      <c r="B249" s="2">
        <v>42046.0</v>
      </c>
      <c r="C249" s="1">
        <v>3849.0</v>
      </c>
      <c r="D249" s="1">
        <v>31889.0</v>
      </c>
      <c r="E249" s="1">
        <v>2.0</v>
      </c>
      <c r="F249" s="1">
        <v>11.0</v>
      </c>
      <c r="G249" s="1" t="s">
        <v>17</v>
      </c>
    </row>
    <row r="250">
      <c r="A250" s="1" t="s">
        <v>11</v>
      </c>
      <c r="B250" s="2">
        <v>42046.0</v>
      </c>
      <c r="C250" s="1">
        <v>255.0</v>
      </c>
      <c r="D250" s="1">
        <v>1831.0</v>
      </c>
      <c r="E250" s="1">
        <v>2.0</v>
      </c>
      <c r="F250" s="1">
        <v>11.0</v>
      </c>
      <c r="G250" s="1" t="s">
        <v>17</v>
      </c>
    </row>
    <row r="251">
      <c r="A251" s="1" t="s">
        <v>21</v>
      </c>
      <c r="B251" s="2">
        <v>42046.0</v>
      </c>
      <c r="C251" s="1">
        <v>1115.0</v>
      </c>
      <c r="D251" s="1">
        <v>10034.0</v>
      </c>
      <c r="E251" s="1">
        <v>2.0</v>
      </c>
      <c r="F251" s="1">
        <v>11.0</v>
      </c>
      <c r="G251" s="1" t="s">
        <v>17</v>
      </c>
    </row>
    <row r="252">
      <c r="A252" s="1" t="s">
        <v>14</v>
      </c>
      <c r="B252" s="2">
        <v>42046.0</v>
      </c>
      <c r="C252" s="1">
        <v>450.0</v>
      </c>
      <c r="D252" s="1">
        <v>3778.0</v>
      </c>
      <c r="E252" s="1">
        <v>2.0</v>
      </c>
      <c r="F252" s="1">
        <v>11.0</v>
      </c>
      <c r="G252" s="1" t="s">
        <v>17</v>
      </c>
    </row>
    <row r="253">
      <c r="A253" s="1" t="s">
        <v>18</v>
      </c>
      <c r="B253" s="2">
        <v>42046.0</v>
      </c>
      <c r="C253" s="1">
        <v>1396.0</v>
      </c>
      <c r="D253" s="1">
        <v>12189.0</v>
      </c>
      <c r="E253" s="1">
        <v>2.0</v>
      </c>
      <c r="F253" s="1">
        <v>11.0</v>
      </c>
      <c r="G253" s="1" t="s">
        <v>17</v>
      </c>
    </row>
    <row r="254">
      <c r="A254" s="1" t="s">
        <v>19</v>
      </c>
      <c r="B254" s="2">
        <v>42047.0</v>
      </c>
      <c r="C254" s="1">
        <v>1532.0</v>
      </c>
      <c r="D254" s="1">
        <v>14263.0</v>
      </c>
      <c r="E254" s="1">
        <v>2.0</v>
      </c>
      <c r="F254" s="1">
        <v>12.0</v>
      </c>
      <c r="G254" s="1" t="s">
        <v>12</v>
      </c>
    </row>
    <row r="255">
      <c r="A255" s="1" t="s">
        <v>11</v>
      </c>
      <c r="B255" s="2">
        <v>42047.0</v>
      </c>
      <c r="C255" s="1">
        <v>269.0</v>
      </c>
      <c r="D255" s="1">
        <v>2092.0</v>
      </c>
      <c r="E255" s="1">
        <v>2.0</v>
      </c>
      <c r="F255" s="1">
        <v>12.0</v>
      </c>
      <c r="G255" s="1" t="s">
        <v>12</v>
      </c>
    </row>
    <row r="256">
      <c r="A256" s="1" t="s">
        <v>18</v>
      </c>
      <c r="B256" s="2">
        <v>42047.0</v>
      </c>
      <c r="C256" s="1">
        <v>1468.0</v>
      </c>
      <c r="D256" s="1">
        <v>13786.0</v>
      </c>
      <c r="E256" s="1">
        <v>2.0</v>
      </c>
      <c r="F256" s="1">
        <v>12.0</v>
      </c>
      <c r="G256" s="1" t="s">
        <v>12</v>
      </c>
    </row>
    <row r="257">
      <c r="A257" s="1" t="s">
        <v>14</v>
      </c>
      <c r="B257" s="2">
        <v>42047.0</v>
      </c>
      <c r="C257" s="1">
        <v>536.0</v>
      </c>
      <c r="D257" s="1">
        <v>4609.0</v>
      </c>
      <c r="E257" s="1">
        <v>2.0</v>
      </c>
      <c r="F257" s="1">
        <v>12.0</v>
      </c>
      <c r="G257" s="1" t="s">
        <v>12</v>
      </c>
    </row>
    <row r="258">
      <c r="A258" s="1" t="s">
        <v>21</v>
      </c>
      <c r="B258" s="2">
        <v>42047.0</v>
      </c>
      <c r="C258" s="1">
        <v>1181.0</v>
      </c>
      <c r="D258" s="1">
        <v>11640.0</v>
      </c>
      <c r="E258" s="1">
        <v>2.0</v>
      </c>
      <c r="F258" s="1">
        <v>12.0</v>
      </c>
      <c r="G258" s="1" t="s">
        <v>12</v>
      </c>
    </row>
    <row r="259">
      <c r="A259" s="1" t="s">
        <v>16</v>
      </c>
      <c r="B259" s="2">
        <v>42047.0</v>
      </c>
      <c r="C259" s="1">
        <v>4137.0</v>
      </c>
      <c r="D259" s="1">
        <v>36844.0</v>
      </c>
      <c r="E259" s="1">
        <v>2.0</v>
      </c>
      <c r="F259" s="1">
        <v>12.0</v>
      </c>
      <c r="G259" s="1" t="s">
        <v>12</v>
      </c>
    </row>
    <row r="260">
      <c r="A260" s="1" t="s">
        <v>19</v>
      </c>
      <c r="B260" s="2">
        <v>42048.0</v>
      </c>
      <c r="C260" s="1">
        <v>1590.0</v>
      </c>
      <c r="D260" s="1">
        <v>16996.0</v>
      </c>
      <c r="E260" s="1">
        <v>2.0</v>
      </c>
      <c r="F260" s="1">
        <v>13.0</v>
      </c>
      <c r="G260" s="1" t="s">
        <v>20</v>
      </c>
    </row>
    <row r="261">
      <c r="A261" s="1" t="s">
        <v>18</v>
      </c>
      <c r="B261" s="2">
        <v>42048.0</v>
      </c>
      <c r="C261" s="1">
        <v>1523.0</v>
      </c>
      <c r="D261" s="1">
        <v>16088.0</v>
      </c>
      <c r="E261" s="1">
        <v>2.0</v>
      </c>
      <c r="F261" s="1">
        <v>13.0</v>
      </c>
      <c r="G261" s="1" t="s">
        <v>20</v>
      </c>
    </row>
    <row r="262">
      <c r="A262" s="1" t="s">
        <v>16</v>
      </c>
      <c r="B262" s="2">
        <v>42048.0</v>
      </c>
      <c r="C262" s="1">
        <v>4395.0</v>
      </c>
      <c r="D262" s="1">
        <v>43561.0</v>
      </c>
      <c r="E262" s="1">
        <v>2.0</v>
      </c>
      <c r="F262" s="1">
        <v>13.0</v>
      </c>
      <c r="G262" s="1" t="s">
        <v>20</v>
      </c>
    </row>
    <row r="263">
      <c r="A263" s="1" t="s">
        <v>14</v>
      </c>
      <c r="B263" s="2">
        <v>42048.0</v>
      </c>
      <c r="C263" s="1">
        <v>599.0</v>
      </c>
      <c r="D263" s="1">
        <v>5909.0</v>
      </c>
      <c r="E263" s="1">
        <v>2.0</v>
      </c>
      <c r="F263" s="1">
        <v>13.0</v>
      </c>
      <c r="G263" s="1" t="s">
        <v>20</v>
      </c>
    </row>
    <row r="264">
      <c r="A264" s="1" t="s">
        <v>11</v>
      </c>
      <c r="B264" s="2">
        <v>42048.0</v>
      </c>
      <c r="C264" s="1">
        <v>281.0</v>
      </c>
      <c r="D264" s="1">
        <v>2408.0</v>
      </c>
      <c r="E264" s="1">
        <v>2.0</v>
      </c>
      <c r="F264" s="1">
        <v>13.0</v>
      </c>
      <c r="G264" s="1" t="s">
        <v>20</v>
      </c>
    </row>
    <row r="265">
      <c r="A265" s="1" t="s">
        <v>21</v>
      </c>
      <c r="B265" s="2">
        <v>42048.0</v>
      </c>
      <c r="C265" s="1">
        <v>1216.0</v>
      </c>
      <c r="D265" s="1">
        <v>13062.0</v>
      </c>
      <c r="E265" s="1">
        <v>2.0</v>
      </c>
      <c r="F265" s="1">
        <v>13.0</v>
      </c>
      <c r="G265" s="1" t="s">
        <v>20</v>
      </c>
    </row>
    <row r="266">
      <c r="A266" s="1" t="s">
        <v>16</v>
      </c>
      <c r="B266" s="2">
        <v>42049.0</v>
      </c>
      <c r="C266" s="1">
        <v>4129.0</v>
      </c>
      <c r="D266" s="1">
        <v>45858.0</v>
      </c>
      <c r="E266" s="1">
        <v>2.0</v>
      </c>
      <c r="F266" s="1">
        <v>14.0</v>
      </c>
      <c r="G266" s="1" t="s">
        <v>22</v>
      </c>
    </row>
    <row r="267">
      <c r="A267" s="1" t="s">
        <v>11</v>
      </c>
      <c r="B267" s="2">
        <v>42049.0</v>
      </c>
      <c r="C267" s="1">
        <v>236.0</v>
      </c>
      <c r="D267" s="1">
        <v>2055.0</v>
      </c>
      <c r="E267" s="1">
        <v>2.0</v>
      </c>
      <c r="F267" s="1">
        <v>14.0</v>
      </c>
      <c r="G267" s="1" t="s">
        <v>22</v>
      </c>
    </row>
    <row r="268">
      <c r="A268" s="1" t="s">
        <v>21</v>
      </c>
      <c r="B268" s="2">
        <v>42049.0</v>
      </c>
      <c r="C268" s="1">
        <v>1111.0</v>
      </c>
      <c r="D268" s="1">
        <v>12678.0</v>
      </c>
      <c r="E268" s="1">
        <v>2.0</v>
      </c>
      <c r="F268" s="1">
        <v>14.0</v>
      </c>
      <c r="G268" s="1" t="s">
        <v>22</v>
      </c>
    </row>
    <row r="269">
      <c r="A269" s="1" t="s">
        <v>14</v>
      </c>
      <c r="B269" s="2">
        <v>42049.0</v>
      </c>
      <c r="C269" s="1">
        <v>583.0</v>
      </c>
      <c r="D269" s="1">
        <v>6307.0</v>
      </c>
      <c r="E269" s="1">
        <v>2.0</v>
      </c>
      <c r="F269" s="1">
        <v>14.0</v>
      </c>
      <c r="G269" s="1" t="s">
        <v>22</v>
      </c>
    </row>
    <row r="270">
      <c r="A270" s="1" t="s">
        <v>19</v>
      </c>
      <c r="B270" s="2">
        <v>42049.0</v>
      </c>
      <c r="C270" s="1">
        <v>1486.0</v>
      </c>
      <c r="D270" s="1">
        <v>16999.0</v>
      </c>
      <c r="E270" s="1">
        <v>2.0</v>
      </c>
      <c r="F270" s="1">
        <v>14.0</v>
      </c>
      <c r="G270" s="1" t="s">
        <v>22</v>
      </c>
    </row>
    <row r="271">
      <c r="A271" s="1" t="s">
        <v>18</v>
      </c>
      <c r="B271" s="2">
        <v>42049.0</v>
      </c>
      <c r="C271" s="1">
        <v>1428.0</v>
      </c>
      <c r="D271" s="1">
        <v>16448.0</v>
      </c>
      <c r="E271" s="1">
        <v>2.0</v>
      </c>
      <c r="F271" s="1">
        <v>14.0</v>
      </c>
      <c r="G271" s="1" t="s">
        <v>22</v>
      </c>
    </row>
    <row r="272">
      <c r="A272" s="1" t="s">
        <v>18</v>
      </c>
      <c r="B272" s="2">
        <v>42050.0</v>
      </c>
      <c r="C272" s="1">
        <v>1261.0</v>
      </c>
      <c r="D272" s="1">
        <v>14517.0</v>
      </c>
      <c r="E272" s="1">
        <v>2.0</v>
      </c>
      <c r="F272" s="1">
        <v>15.0</v>
      </c>
      <c r="G272" s="1" t="s">
        <v>23</v>
      </c>
    </row>
    <row r="273">
      <c r="A273" s="1" t="s">
        <v>16</v>
      </c>
      <c r="B273" s="2">
        <v>42050.0</v>
      </c>
      <c r="C273" s="1">
        <v>3651.0</v>
      </c>
      <c r="D273" s="1">
        <v>41209.0</v>
      </c>
      <c r="E273" s="1">
        <v>2.0</v>
      </c>
      <c r="F273" s="1">
        <v>15.0</v>
      </c>
      <c r="G273" s="1" t="s">
        <v>23</v>
      </c>
    </row>
    <row r="274">
      <c r="A274" s="1" t="s">
        <v>19</v>
      </c>
      <c r="B274" s="2">
        <v>42050.0</v>
      </c>
      <c r="C274" s="1">
        <v>1293.0</v>
      </c>
      <c r="D274" s="1">
        <v>14662.0</v>
      </c>
      <c r="E274" s="1">
        <v>2.0</v>
      </c>
      <c r="F274" s="1">
        <v>15.0</v>
      </c>
      <c r="G274" s="1" t="s">
        <v>23</v>
      </c>
    </row>
    <row r="275">
      <c r="A275" s="1" t="s">
        <v>14</v>
      </c>
      <c r="B275" s="2">
        <v>42050.0</v>
      </c>
      <c r="C275" s="1">
        <v>521.0</v>
      </c>
      <c r="D275" s="1">
        <v>5500.0</v>
      </c>
      <c r="E275" s="1">
        <v>2.0</v>
      </c>
      <c r="F275" s="1">
        <v>15.0</v>
      </c>
      <c r="G275" s="1" t="s">
        <v>23</v>
      </c>
    </row>
    <row r="276">
      <c r="A276" s="1" t="s">
        <v>11</v>
      </c>
      <c r="B276" s="2">
        <v>42050.0</v>
      </c>
      <c r="C276" s="1">
        <v>210.0</v>
      </c>
      <c r="D276" s="1">
        <v>1996.0</v>
      </c>
      <c r="E276" s="1">
        <v>2.0</v>
      </c>
      <c r="F276" s="1">
        <v>15.0</v>
      </c>
      <c r="G276" s="1" t="s">
        <v>23</v>
      </c>
    </row>
    <row r="277">
      <c r="A277" s="1" t="s">
        <v>21</v>
      </c>
      <c r="B277" s="2">
        <v>42050.0</v>
      </c>
      <c r="C277" s="1">
        <v>1003.0</v>
      </c>
      <c r="D277" s="1">
        <v>11517.0</v>
      </c>
      <c r="E277" s="1">
        <v>2.0</v>
      </c>
      <c r="F277" s="1">
        <v>15.0</v>
      </c>
      <c r="G277" s="1" t="s">
        <v>23</v>
      </c>
    </row>
    <row r="278">
      <c r="A278" s="1" t="s">
        <v>21</v>
      </c>
      <c r="B278" s="2">
        <v>42051.0</v>
      </c>
      <c r="C278" s="1">
        <v>934.0</v>
      </c>
      <c r="D278" s="1">
        <v>9052.0</v>
      </c>
      <c r="E278" s="1">
        <v>2.0</v>
      </c>
      <c r="F278" s="1">
        <v>16.0</v>
      </c>
      <c r="G278" s="1" t="s">
        <v>13</v>
      </c>
      <c r="K278" s="3">
        <f t="shared" ref="K278:K354" si="3">SUMIF(E:E, J278, D:D)</f>
        <v>0</v>
      </c>
    </row>
    <row r="279">
      <c r="A279" s="1" t="s">
        <v>11</v>
      </c>
      <c r="B279" s="2">
        <v>42051.0</v>
      </c>
      <c r="C279" s="1">
        <v>207.0</v>
      </c>
      <c r="D279" s="1">
        <v>1576.0</v>
      </c>
      <c r="E279" s="1">
        <v>2.0</v>
      </c>
      <c r="F279" s="1">
        <v>16.0</v>
      </c>
      <c r="G279" s="1" t="s">
        <v>13</v>
      </c>
      <c r="K279" s="3">
        <f t="shared" si="3"/>
        <v>0</v>
      </c>
    </row>
    <row r="280">
      <c r="A280" s="1" t="s">
        <v>19</v>
      </c>
      <c r="B280" s="2">
        <v>42051.0</v>
      </c>
      <c r="C280" s="1">
        <v>1214.0</v>
      </c>
      <c r="D280" s="1">
        <v>11824.0</v>
      </c>
      <c r="E280" s="1">
        <v>2.0</v>
      </c>
      <c r="F280" s="1">
        <v>16.0</v>
      </c>
      <c r="G280" s="1" t="s">
        <v>13</v>
      </c>
      <c r="K280" s="3">
        <f t="shared" si="3"/>
        <v>0</v>
      </c>
    </row>
    <row r="281">
      <c r="A281" s="1" t="s">
        <v>16</v>
      </c>
      <c r="B281" s="2">
        <v>42051.0</v>
      </c>
      <c r="C281" s="1">
        <v>3524.0</v>
      </c>
      <c r="D281" s="1">
        <v>33448.0</v>
      </c>
      <c r="E281" s="1">
        <v>2.0</v>
      </c>
      <c r="F281" s="1">
        <v>16.0</v>
      </c>
      <c r="G281" s="1" t="s">
        <v>13</v>
      </c>
      <c r="K281" s="3">
        <f t="shared" si="3"/>
        <v>0</v>
      </c>
    </row>
    <row r="282">
      <c r="A282" s="1" t="s">
        <v>18</v>
      </c>
      <c r="B282" s="2">
        <v>42051.0</v>
      </c>
      <c r="C282" s="1">
        <v>1164.0</v>
      </c>
      <c r="D282" s="1">
        <v>11323.0</v>
      </c>
      <c r="E282" s="1">
        <v>2.0</v>
      </c>
      <c r="F282" s="1">
        <v>16.0</v>
      </c>
      <c r="G282" s="1" t="s">
        <v>13</v>
      </c>
      <c r="K282" s="3">
        <f t="shared" si="3"/>
        <v>0</v>
      </c>
    </row>
    <row r="283">
      <c r="A283" s="1" t="s">
        <v>14</v>
      </c>
      <c r="B283" s="2">
        <v>42051.0</v>
      </c>
      <c r="C283" s="1">
        <v>508.0</v>
      </c>
      <c r="D283" s="1">
        <v>4875.0</v>
      </c>
      <c r="E283" s="1">
        <v>2.0</v>
      </c>
      <c r="F283" s="1">
        <v>16.0</v>
      </c>
      <c r="G283" s="1" t="s">
        <v>13</v>
      </c>
      <c r="K283" s="3">
        <f t="shared" si="3"/>
        <v>0</v>
      </c>
    </row>
    <row r="284">
      <c r="A284" s="1" t="s">
        <v>16</v>
      </c>
      <c r="B284" s="2">
        <v>42052.0</v>
      </c>
      <c r="C284" s="1">
        <v>3826.0</v>
      </c>
      <c r="D284" s="1">
        <v>32473.0</v>
      </c>
      <c r="E284" s="1">
        <v>2.0</v>
      </c>
      <c r="F284" s="1">
        <v>17.0</v>
      </c>
      <c r="G284" s="1" t="s">
        <v>15</v>
      </c>
      <c r="K284" s="3">
        <f t="shared" si="3"/>
        <v>0</v>
      </c>
    </row>
    <row r="285">
      <c r="A285" s="1" t="s">
        <v>11</v>
      </c>
      <c r="B285" s="2">
        <v>42052.0</v>
      </c>
      <c r="C285" s="1">
        <v>241.0</v>
      </c>
      <c r="D285" s="1">
        <v>1797.0</v>
      </c>
      <c r="E285" s="1">
        <v>2.0</v>
      </c>
      <c r="F285" s="1">
        <v>17.0</v>
      </c>
      <c r="G285" s="1" t="s">
        <v>15</v>
      </c>
      <c r="K285" s="3">
        <f t="shared" si="3"/>
        <v>0</v>
      </c>
    </row>
    <row r="286">
      <c r="A286" s="1" t="s">
        <v>18</v>
      </c>
      <c r="B286" s="2">
        <v>42052.0</v>
      </c>
      <c r="C286" s="1">
        <v>1314.0</v>
      </c>
      <c r="D286" s="1">
        <v>11887.0</v>
      </c>
      <c r="E286" s="1">
        <v>2.0</v>
      </c>
      <c r="F286" s="1">
        <v>17.0</v>
      </c>
      <c r="G286" s="1" t="s">
        <v>15</v>
      </c>
      <c r="K286" s="3">
        <f t="shared" si="3"/>
        <v>0</v>
      </c>
    </row>
    <row r="287">
      <c r="A287" s="1" t="s">
        <v>19</v>
      </c>
      <c r="B287" s="2">
        <v>42052.0</v>
      </c>
      <c r="C287" s="1">
        <v>1378.0</v>
      </c>
      <c r="D287" s="1">
        <v>12524.0</v>
      </c>
      <c r="E287" s="1">
        <v>2.0</v>
      </c>
      <c r="F287" s="1">
        <v>17.0</v>
      </c>
      <c r="G287" s="1" t="s">
        <v>15</v>
      </c>
      <c r="K287" s="3">
        <f t="shared" si="3"/>
        <v>0</v>
      </c>
    </row>
    <row r="288">
      <c r="A288" s="1" t="s">
        <v>21</v>
      </c>
      <c r="B288" s="2">
        <v>42052.0</v>
      </c>
      <c r="C288" s="1">
        <v>1066.0</v>
      </c>
      <c r="D288" s="1">
        <v>9463.0</v>
      </c>
      <c r="E288" s="1">
        <v>2.0</v>
      </c>
      <c r="F288" s="1">
        <v>17.0</v>
      </c>
      <c r="G288" s="1" t="s">
        <v>15</v>
      </c>
      <c r="K288" s="3">
        <f t="shared" si="3"/>
        <v>0</v>
      </c>
    </row>
    <row r="289">
      <c r="A289" s="1" t="s">
        <v>14</v>
      </c>
      <c r="B289" s="2">
        <v>42052.0</v>
      </c>
      <c r="C289" s="1">
        <v>578.0</v>
      </c>
      <c r="D289" s="1">
        <v>4907.0</v>
      </c>
      <c r="E289" s="1">
        <v>2.0</v>
      </c>
      <c r="F289" s="1">
        <v>17.0</v>
      </c>
      <c r="G289" s="1" t="s">
        <v>15</v>
      </c>
      <c r="K289" s="3">
        <f t="shared" si="3"/>
        <v>0</v>
      </c>
    </row>
    <row r="290">
      <c r="A290" s="1" t="s">
        <v>21</v>
      </c>
      <c r="B290" s="2">
        <v>42053.0</v>
      </c>
      <c r="C290" s="1">
        <v>1078.0</v>
      </c>
      <c r="D290" s="1">
        <v>9538.0</v>
      </c>
      <c r="E290" s="1">
        <v>2.0</v>
      </c>
      <c r="F290" s="1">
        <v>18.0</v>
      </c>
      <c r="G290" s="1" t="s">
        <v>17</v>
      </c>
      <c r="K290" s="3">
        <f t="shared" si="3"/>
        <v>0</v>
      </c>
    </row>
    <row r="291">
      <c r="A291" s="1" t="s">
        <v>18</v>
      </c>
      <c r="B291" s="2">
        <v>42053.0</v>
      </c>
      <c r="C291" s="1">
        <v>1314.0</v>
      </c>
      <c r="D291" s="1">
        <v>11724.0</v>
      </c>
      <c r="E291" s="1">
        <v>2.0</v>
      </c>
      <c r="F291" s="1">
        <v>18.0</v>
      </c>
      <c r="G291" s="1" t="s">
        <v>17</v>
      </c>
      <c r="K291" s="3">
        <f t="shared" si="3"/>
        <v>0</v>
      </c>
    </row>
    <row r="292">
      <c r="A292" s="1" t="s">
        <v>19</v>
      </c>
      <c r="B292" s="2">
        <v>42053.0</v>
      </c>
      <c r="C292" s="1">
        <v>1394.0</v>
      </c>
      <c r="D292" s="1">
        <v>12016.0</v>
      </c>
      <c r="E292" s="1">
        <v>2.0</v>
      </c>
      <c r="F292" s="1">
        <v>18.0</v>
      </c>
      <c r="G292" s="1" t="s">
        <v>17</v>
      </c>
      <c r="K292" s="3">
        <f t="shared" si="3"/>
        <v>0</v>
      </c>
    </row>
    <row r="293">
      <c r="A293" s="1" t="s">
        <v>14</v>
      </c>
      <c r="B293" s="2">
        <v>42053.0</v>
      </c>
      <c r="C293" s="1">
        <v>586.0</v>
      </c>
      <c r="D293" s="1">
        <v>5059.0</v>
      </c>
      <c r="E293" s="1">
        <v>2.0</v>
      </c>
      <c r="F293" s="1">
        <v>18.0</v>
      </c>
      <c r="G293" s="1" t="s">
        <v>17</v>
      </c>
      <c r="K293" s="3">
        <f t="shared" si="3"/>
        <v>0</v>
      </c>
    </row>
    <row r="294">
      <c r="A294" s="1" t="s">
        <v>16</v>
      </c>
      <c r="B294" s="2">
        <v>42053.0</v>
      </c>
      <c r="C294" s="1">
        <v>3842.0</v>
      </c>
      <c r="D294" s="1">
        <v>32317.0</v>
      </c>
      <c r="E294" s="1">
        <v>2.0</v>
      </c>
      <c r="F294" s="1">
        <v>18.0</v>
      </c>
      <c r="G294" s="1" t="s">
        <v>17</v>
      </c>
      <c r="K294" s="3">
        <f t="shared" si="3"/>
        <v>0</v>
      </c>
    </row>
    <row r="295">
      <c r="A295" s="1" t="s">
        <v>11</v>
      </c>
      <c r="B295" s="2">
        <v>42053.0</v>
      </c>
      <c r="C295" s="1">
        <v>228.0</v>
      </c>
      <c r="D295" s="1">
        <v>1589.0</v>
      </c>
      <c r="E295" s="1">
        <v>2.0</v>
      </c>
      <c r="F295" s="1">
        <v>18.0</v>
      </c>
      <c r="G295" s="1" t="s">
        <v>17</v>
      </c>
      <c r="K295" s="3">
        <f t="shared" si="3"/>
        <v>0</v>
      </c>
    </row>
    <row r="296">
      <c r="A296" s="1" t="s">
        <v>21</v>
      </c>
      <c r="B296" s="2">
        <v>42054.0</v>
      </c>
      <c r="C296" s="1">
        <v>1127.0</v>
      </c>
      <c r="D296" s="1">
        <v>11739.0</v>
      </c>
      <c r="E296" s="1">
        <v>2.0</v>
      </c>
      <c r="F296" s="1">
        <v>19.0</v>
      </c>
      <c r="G296" s="1" t="s">
        <v>12</v>
      </c>
      <c r="K296" s="3">
        <f t="shared" si="3"/>
        <v>0</v>
      </c>
    </row>
    <row r="297">
      <c r="A297" s="1" t="s">
        <v>11</v>
      </c>
      <c r="B297" s="2">
        <v>42054.0</v>
      </c>
      <c r="C297" s="1">
        <v>250.0</v>
      </c>
      <c r="D297" s="1">
        <v>2120.0</v>
      </c>
      <c r="E297" s="1">
        <v>2.0</v>
      </c>
      <c r="F297" s="1">
        <v>19.0</v>
      </c>
      <c r="G297" s="1" t="s">
        <v>12</v>
      </c>
      <c r="K297" s="3">
        <f t="shared" si="3"/>
        <v>0</v>
      </c>
    </row>
    <row r="298">
      <c r="A298" s="1" t="s">
        <v>18</v>
      </c>
      <c r="B298" s="2">
        <v>42054.0</v>
      </c>
      <c r="C298" s="1">
        <v>1428.0</v>
      </c>
      <c r="D298" s="1">
        <v>14591.0</v>
      </c>
      <c r="E298" s="1">
        <v>2.0</v>
      </c>
      <c r="F298" s="1">
        <v>19.0</v>
      </c>
      <c r="G298" s="1" t="s">
        <v>12</v>
      </c>
      <c r="K298" s="3">
        <f t="shared" si="3"/>
        <v>0</v>
      </c>
    </row>
    <row r="299">
      <c r="A299" s="1" t="s">
        <v>16</v>
      </c>
      <c r="B299" s="2">
        <v>42054.0</v>
      </c>
      <c r="C299" s="1">
        <v>4110.0</v>
      </c>
      <c r="D299" s="1">
        <v>39110.0</v>
      </c>
      <c r="E299" s="1">
        <v>2.0</v>
      </c>
      <c r="F299" s="1">
        <v>19.0</v>
      </c>
      <c r="G299" s="1" t="s">
        <v>12</v>
      </c>
      <c r="K299" s="3">
        <f t="shared" si="3"/>
        <v>0</v>
      </c>
    </row>
    <row r="300">
      <c r="A300" s="1" t="s">
        <v>14</v>
      </c>
      <c r="B300" s="2">
        <v>42054.0</v>
      </c>
      <c r="C300" s="1">
        <v>663.0</v>
      </c>
      <c r="D300" s="1">
        <v>6447.0</v>
      </c>
      <c r="E300" s="1">
        <v>2.0</v>
      </c>
      <c r="F300" s="1">
        <v>19.0</v>
      </c>
      <c r="G300" s="1" t="s">
        <v>12</v>
      </c>
      <c r="K300" s="3">
        <f t="shared" si="3"/>
        <v>0</v>
      </c>
    </row>
    <row r="301">
      <c r="A301" s="1" t="s">
        <v>19</v>
      </c>
      <c r="B301" s="2">
        <v>42054.0</v>
      </c>
      <c r="C301" s="1">
        <v>1452.0</v>
      </c>
      <c r="D301" s="1">
        <v>14750.0</v>
      </c>
      <c r="E301" s="1">
        <v>2.0</v>
      </c>
      <c r="F301" s="1">
        <v>19.0</v>
      </c>
      <c r="G301" s="1" t="s">
        <v>12</v>
      </c>
      <c r="K301" s="3">
        <f t="shared" si="3"/>
        <v>0</v>
      </c>
    </row>
    <row r="302">
      <c r="A302" s="1" t="s">
        <v>16</v>
      </c>
      <c r="B302" s="2">
        <v>42055.0</v>
      </c>
      <c r="C302" s="1">
        <v>4384.0</v>
      </c>
      <c r="D302" s="1">
        <v>44755.0</v>
      </c>
      <c r="E302" s="1">
        <v>2.0</v>
      </c>
      <c r="F302" s="1">
        <v>20.0</v>
      </c>
      <c r="G302" s="1" t="s">
        <v>20</v>
      </c>
      <c r="K302" s="3">
        <f t="shared" si="3"/>
        <v>0</v>
      </c>
    </row>
    <row r="303">
      <c r="A303" s="1" t="s">
        <v>19</v>
      </c>
      <c r="B303" s="2">
        <v>42055.0</v>
      </c>
      <c r="C303" s="1">
        <v>1574.0</v>
      </c>
      <c r="D303" s="1">
        <v>16856.0</v>
      </c>
      <c r="E303" s="1">
        <v>2.0</v>
      </c>
      <c r="F303" s="1">
        <v>20.0</v>
      </c>
      <c r="G303" s="1" t="s">
        <v>20</v>
      </c>
      <c r="K303" s="3">
        <f t="shared" si="3"/>
        <v>0</v>
      </c>
    </row>
    <row r="304">
      <c r="A304" s="1" t="s">
        <v>21</v>
      </c>
      <c r="B304" s="2">
        <v>42055.0</v>
      </c>
      <c r="C304" s="1">
        <v>1186.0</v>
      </c>
      <c r="D304" s="1">
        <v>12758.0</v>
      </c>
      <c r="E304" s="1">
        <v>2.0</v>
      </c>
      <c r="F304" s="1">
        <v>20.0</v>
      </c>
      <c r="G304" s="1" t="s">
        <v>20</v>
      </c>
      <c r="K304" s="3">
        <f t="shared" si="3"/>
        <v>0</v>
      </c>
    </row>
    <row r="305">
      <c r="A305" s="1" t="s">
        <v>18</v>
      </c>
      <c r="B305" s="2">
        <v>42055.0</v>
      </c>
      <c r="C305" s="1">
        <v>1497.0</v>
      </c>
      <c r="D305" s="1">
        <v>16342.0</v>
      </c>
      <c r="E305" s="1">
        <v>2.0</v>
      </c>
      <c r="F305" s="1">
        <v>20.0</v>
      </c>
      <c r="G305" s="1" t="s">
        <v>20</v>
      </c>
      <c r="K305" s="3">
        <f t="shared" si="3"/>
        <v>0</v>
      </c>
    </row>
    <row r="306">
      <c r="A306" s="1" t="s">
        <v>14</v>
      </c>
      <c r="B306" s="2">
        <v>42055.0</v>
      </c>
      <c r="C306" s="1">
        <v>736.0</v>
      </c>
      <c r="D306" s="1">
        <v>7824.0</v>
      </c>
      <c r="E306" s="1">
        <v>2.0</v>
      </c>
      <c r="F306" s="1">
        <v>20.0</v>
      </c>
      <c r="G306" s="1" t="s">
        <v>20</v>
      </c>
      <c r="K306" s="3">
        <f t="shared" si="3"/>
        <v>0</v>
      </c>
    </row>
    <row r="307">
      <c r="A307" s="1" t="s">
        <v>11</v>
      </c>
      <c r="B307" s="2">
        <v>42055.0</v>
      </c>
      <c r="C307" s="1">
        <v>272.0</v>
      </c>
      <c r="D307" s="1">
        <v>2380.0</v>
      </c>
      <c r="E307" s="1">
        <v>2.0</v>
      </c>
      <c r="F307" s="1">
        <v>20.0</v>
      </c>
      <c r="G307" s="1" t="s">
        <v>20</v>
      </c>
      <c r="K307" s="3">
        <f t="shared" si="3"/>
        <v>0</v>
      </c>
    </row>
    <row r="308">
      <c r="A308" s="1" t="s">
        <v>21</v>
      </c>
      <c r="B308" s="2">
        <v>42056.0</v>
      </c>
      <c r="C308" s="1">
        <v>1044.0</v>
      </c>
      <c r="D308" s="1">
        <v>12132.0</v>
      </c>
      <c r="E308" s="1">
        <v>2.0</v>
      </c>
      <c r="F308" s="1">
        <v>21.0</v>
      </c>
      <c r="G308" s="1" t="s">
        <v>22</v>
      </c>
      <c r="K308" s="3">
        <f t="shared" si="3"/>
        <v>0</v>
      </c>
    </row>
    <row r="309">
      <c r="A309" s="1" t="s">
        <v>18</v>
      </c>
      <c r="B309" s="2">
        <v>42056.0</v>
      </c>
      <c r="C309" s="1">
        <v>1374.0</v>
      </c>
      <c r="D309" s="1">
        <v>16149.0</v>
      </c>
      <c r="E309" s="1">
        <v>2.0</v>
      </c>
      <c r="F309" s="1">
        <v>21.0</v>
      </c>
      <c r="G309" s="1" t="s">
        <v>22</v>
      </c>
      <c r="K309" s="3">
        <f t="shared" si="3"/>
        <v>0</v>
      </c>
    </row>
    <row r="310">
      <c r="A310" s="1" t="s">
        <v>14</v>
      </c>
      <c r="B310" s="2">
        <v>42056.0</v>
      </c>
      <c r="C310" s="1">
        <v>685.0</v>
      </c>
      <c r="D310" s="1">
        <v>7658.0</v>
      </c>
      <c r="E310" s="1">
        <v>2.0</v>
      </c>
      <c r="F310" s="1">
        <v>21.0</v>
      </c>
      <c r="G310" s="1" t="s">
        <v>22</v>
      </c>
      <c r="K310" s="3">
        <f t="shared" si="3"/>
        <v>0</v>
      </c>
    </row>
    <row r="311">
      <c r="A311" s="1" t="s">
        <v>19</v>
      </c>
      <c r="B311" s="2">
        <v>42056.0</v>
      </c>
      <c r="C311" s="1">
        <v>1443.0</v>
      </c>
      <c r="D311" s="1">
        <v>16098.0</v>
      </c>
      <c r="E311" s="1">
        <v>2.0</v>
      </c>
      <c r="F311" s="1">
        <v>21.0</v>
      </c>
      <c r="G311" s="1" t="s">
        <v>22</v>
      </c>
      <c r="K311" s="3">
        <f t="shared" si="3"/>
        <v>0</v>
      </c>
    </row>
    <row r="312">
      <c r="A312" s="1" t="s">
        <v>11</v>
      </c>
      <c r="B312" s="2">
        <v>42056.0</v>
      </c>
      <c r="C312" s="1">
        <v>238.0</v>
      </c>
      <c r="D312" s="1">
        <v>2149.0</v>
      </c>
      <c r="E312" s="1">
        <v>2.0</v>
      </c>
      <c r="F312" s="1">
        <v>21.0</v>
      </c>
      <c r="G312" s="1" t="s">
        <v>22</v>
      </c>
      <c r="K312" s="3">
        <f t="shared" si="3"/>
        <v>0</v>
      </c>
    </row>
    <row r="313">
      <c r="A313" s="1" t="s">
        <v>16</v>
      </c>
      <c r="B313" s="2">
        <v>42056.0</v>
      </c>
      <c r="C313" s="1">
        <v>3981.0</v>
      </c>
      <c r="D313" s="1">
        <v>44194.0</v>
      </c>
      <c r="E313" s="1">
        <v>2.0</v>
      </c>
      <c r="F313" s="1">
        <v>21.0</v>
      </c>
      <c r="G313" s="1" t="s">
        <v>22</v>
      </c>
      <c r="K313" s="3">
        <f t="shared" si="3"/>
        <v>0</v>
      </c>
    </row>
    <row r="314">
      <c r="A314" s="1" t="s">
        <v>11</v>
      </c>
      <c r="B314" s="2">
        <v>42057.0</v>
      </c>
      <c r="C314" s="1">
        <v>199.0</v>
      </c>
      <c r="D314" s="1">
        <v>1312.0</v>
      </c>
      <c r="E314" s="1">
        <v>2.0</v>
      </c>
      <c r="F314" s="1">
        <v>22.0</v>
      </c>
      <c r="G314" s="1" t="s">
        <v>23</v>
      </c>
      <c r="K314" s="3">
        <f t="shared" si="3"/>
        <v>0</v>
      </c>
    </row>
    <row r="315">
      <c r="A315" s="1" t="s">
        <v>19</v>
      </c>
      <c r="B315" s="2">
        <v>42057.0</v>
      </c>
      <c r="C315" s="1">
        <v>1248.0</v>
      </c>
      <c r="D315" s="1">
        <v>10696.0</v>
      </c>
      <c r="E315" s="1">
        <v>2.0</v>
      </c>
      <c r="F315" s="1">
        <v>22.0</v>
      </c>
      <c r="G315" s="1" t="s">
        <v>23</v>
      </c>
      <c r="K315" s="3">
        <f t="shared" si="3"/>
        <v>0</v>
      </c>
    </row>
    <row r="316">
      <c r="A316" s="1" t="s">
        <v>18</v>
      </c>
      <c r="B316" s="2">
        <v>42057.0</v>
      </c>
      <c r="C316" s="1">
        <v>1220.0</v>
      </c>
      <c r="D316" s="1">
        <v>10970.0</v>
      </c>
      <c r="E316" s="1">
        <v>2.0</v>
      </c>
      <c r="F316" s="1">
        <v>22.0</v>
      </c>
      <c r="G316" s="1" t="s">
        <v>23</v>
      </c>
      <c r="K316" s="3">
        <f t="shared" si="3"/>
        <v>0</v>
      </c>
    </row>
    <row r="317">
      <c r="A317" s="1" t="s">
        <v>16</v>
      </c>
      <c r="B317" s="2">
        <v>42057.0</v>
      </c>
      <c r="C317" s="1">
        <v>3478.0</v>
      </c>
      <c r="D317" s="1">
        <v>30157.0</v>
      </c>
      <c r="E317" s="1">
        <v>2.0</v>
      </c>
      <c r="F317" s="1">
        <v>22.0</v>
      </c>
      <c r="G317" s="1" t="s">
        <v>23</v>
      </c>
      <c r="K317" s="3">
        <f t="shared" si="3"/>
        <v>0</v>
      </c>
    </row>
    <row r="318">
      <c r="A318" s="1" t="s">
        <v>21</v>
      </c>
      <c r="B318" s="2">
        <v>42057.0</v>
      </c>
      <c r="C318" s="1">
        <v>909.0</v>
      </c>
      <c r="D318" s="1">
        <v>8271.0</v>
      </c>
      <c r="E318" s="1">
        <v>2.0</v>
      </c>
      <c r="F318" s="1">
        <v>22.0</v>
      </c>
      <c r="G318" s="1" t="s">
        <v>23</v>
      </c>
      <c r="K318" s="3">
        <f t="shared" si="3"/>
        <v>0</v>
      </c>
    </row>
    <row r="319">
      <c r="A319" s="1" t="s">
        <v>14</v>
      </c>
      <c r="B319" s="2">
        <v>42057.0</v>
      </c>
      <c r="C319" s="1">
        <v>566.0</v>
      </c>
      <c r="D319" s="1">
        <v>5034.0</v>
      </c>
      <c r="E319" s="1">
        <v>2.0</v>
      </c>
      <c r="F319" s="1">
        <v>22.0</v>
      </c>
      <c r="G319" s="1" t="s">
        <v>23</v>
      </c>
      <c r="K319" s="3">
        <f t="shared" si="3"/>
        <v>0</v>
      </c>
    </row>
    <row r="320">
      <c r="A320" s="1" t="s">
        <v>21</v>
      </c>
      <c r="B320" s="2">
        <v>42058.0</v>
      </c>
      <c r="C320" s="1">
        <v>966.0</v>
      </c>
      <c r="D320" s="1">
        <v>8943.0</v>
      </c>
      <c r="E320" s="1">
        <v>2.0</v>
      </c>
      <c r="F320" s="1">
        <v>23.0</v>
      </c>
      <c r="G320" s="1" t="s">
        <v>13</v>
      </c>
      <c r="K320" s="3">
        <f t="shared" si="3"/>
        <v>0</v>
      </c>
    </row>
    <row r="321">
      <c r="A321" s="1" t="s">
        <v>19</v>
      </c>
      <c r="B321" s="2">
        <v>42058.0</v>
      </c>
      <c r="C321" s="1">
        <v>1332.0</v>
      </c>
      <c r="D321" s="1">
        <v>11720.0</v>
      </c>
      <c r="E321" s="1">
        <v>2.0</v>
      </c>
      <c r="F321" s="1">
        <v>23.0</v>
      </c>
      <c r="G321" s="1" t="s">
        <v>13</v>
      </c>
      <c r="K321" s="3">
        <f t="shared" si="3"/>
        <v>0</v>
      </c>
    </row>
    <row r="322">
      <c r="A322" s="1" t="s">
        <v>16</v>
      </c>
      <c r="B322" s="2">
        <v>42058.0</v>
      </c>
      <c r="C322" s="1">
        <v>3734.0</v>
      </c>
      <c r="D322" s="1">
        <v>31173.0</v>
      </c>
      <c r="E322" s="1">
        <v>2.0</v>
      </c>
      <c r="F322" s="1">
        <v>23.0</v>
      </c>
      <c r="G322" s="1" t="s">
        <v>13</v>
      </c>
      <c r="K322" s="3">
        <f t="shared" si="3"/>
        <v>0</v>
      </c>
    </row>
    <row r="323">
      <c r="A323" s="1" t="s">
        <v>18</v>
      </c>
      <c r="B323" s="2">
        <v>42058.0</v>
      </c>
      <c r="C323" s="1">
        <v>1262.0</v>
      </c>
      <c r="D323" s="1">
        <v>11714.0</v>
      </c>
      <c r="E323" s="1">
        <v>2.0</v>
      </c>
      <c r="F323" s="1">
        <v>23.0</v>
      </c>
      <c r="G323" s="1" t="s">
        <v>13</v>
      </c>
      <c r="K323" s="3">
        <f t="shared" si="3"/>
        <v>0</v>
      </c>
    </row>
    <row r="324">
      <c r="A324" s="1" t="s">
        <v>14</v>
      </c>
      <c r="B324" s="2">
        <v>42058.0</v>
      </c>
      <c r="C324" s="1">
        <v>665.0</v>
      </c>
      <c r="D324" s="1">
        <v>5823.0</v>
      </c>
      <c r="E324" s="1">
        <v>2.0</v>
      </c>
      <c r="F324" s="1">
        <v>23.0</v>
      </c>
      <c r="G324" s="1" t="s">
        <v>13</v>
      </c>
      <c r="K324" s="3">
        <f t="shared" si="3"/>
        <v>0</v>
      </c>
    </row>
    <row r="325">
      <c r="A325" s="1" t="s">
        <v>11</v>
      </c>
      <c r="B325" s="2">
        <v>42058.0</v>
      </c>
      <c r="C325" s="1">
        <v>238.0</v>
      </c>
      <c r="D325" s="1">
        <v>1844.0</v>
      </c>
      <c r="E325" s="1">
        <v>2.0</v>
      </c>
      <c r="F325" s="1">
        <v>23.0</v>
      </c>
      <c r="G325" s="1" t="s">
        <v>13</v>
      </c>
      <c r="K325" s="3">
        <f t="shared" si="3"/>
        <v>0</v>
      </c>
    </row>
    <row r="326">
      <c r="A326" s="1" t="s">
        <v>16</v>
      </c>
      <c r="B326" s="2">
        <v>42059.0</v>
      </c>
      <c r="C326" s="1">
        <v>3965.0</v>
      </c>
      <c r="D326" s="1">
        <v>34686.0</v>
      </c>
      <c r="E326" s="1">
        <v>2.0</v>
      </c>
      <c r="F326" s="1">
        <v>24.0</v>
      </c>
      <c r="G326" s="1" t="s">
        <v>15</v>
      </c>
      <c r="K326" s="3">
        <f t="shared" si="3"/>
        <v>0</v>
      </c>
    </row>
    <row r="327">
      <c r="A327" s="1" t="s">
        <v>11</v>
      </c>
      <c r="B327" s="2">
        <v>42059.0</v>
      </c>
      <c r="C327" s="1">
        <v>247.0</v>
      </c>
      <c r="D327" s="1">
        <v>1869.0</v>
      </c>
      <c r="E327" s="1">
        <v>2.0</v>
      </c>
      <c r="F327" s="1">
        <v>24.0</v>
      </c>
      <c r="G327" s="1" t="s">
        <v>15</v>
      </c>
      <c r="K327" s="3">
        <f t="shared" si="3"/>
        <v>0</v>
      </c>
    </row>
    <row r="328">
      <c r="A328" s="1" t="s">
        <v>21</v>
      </c>
      <c r="B328" s="2">
        <v>42059.0</v>
      </c>
      <c r="C328" s="1">
        <v>1061.0</v>
      </c>
      <c r="D328" s="1">
        <v>9954.0</v>
      </c>
      <c r="E328" s="1">
        <v>2.0</v>
      </c>
      <c r="F328" s="1">
        <v>24.0</v>
      </c>
      <c r="G328" s="1" t="s">
        <v>15</v>
      </c>
      <c r="K328" s="3">
        <f t="shared" si="3"/>
        <v>0</v>
      </c>
    </row>
    <row r="329">
      <c r="A329" s="1" t="s">
        <v>18</v>
      </c>
      <c r="B329" s="2">
        <v>42059.0</v>
      </c>
      <c r="C329" s="1">
        <v>1346.0</v>
      </c>
      <c r="D329" s="1">
        <v>12497.0</v>
      </c>
      <c r="E329" s="1">
        <v>2.0</v>
      </c>
      <c r="F329" s="1">
        <v>24.0</v>
      </c>
      <c r="G329" s="1" t="s">
        <v>15</v>
      </c>
      <c r="K329" s="3">
        <f t="shared" si="3"/>
        <v>0</v>
      </c>
    </row>
    <row r="330">
      <c r="A330" s="1" t="s">
        <v>19</v>
      </c>
      <c r="B330" s="2">
        <v>42059.0</v>
      </c>
      <c r="C330" s="1">
        <v>1456.0</v>
      </c>
      <c r="D330" s="1">
        <v>13719.0</v>
      </c>
      <c r="E330" s="1">
        <v>2.0</v>
      </c>
      <c r="F330" s="1">
        <v>24.0</v>
      </c>
      <c r="G330" s="1" t="s">
        <v>15</v>
      </c>
      <c r="K330" s="3">
        <f t="shared" si="3"/>
        <v>0</v>
      </c>
    </row>
    <row r="331">
      <c r="A331" s="1" t="s">
        <v>14</v>
      </c>
      <c r="B331" s="2">
        <v>42059.0</v>
      </c>
      <c r="C331" s="1">
        <v>698.0</v>
      </c>
      <c r="D331" s="1">
        <v>6390.0</v>
      </c>
      <c r="E331" s="1">
        <v>2.0</v>
      </c>
      <c r="F331" s="1">
        <v>24.0</v>
      </c>
      <c r="G331" s="1" t="s">
        <v>15</v>
      </c>
      <c r="K331" s="3">
        <f t="shared" si="3"/>
        <v>0</v>
      </c>
    </row>
    <row r="332">
      <c r="A332" s="1" t="s">
        <v>11</v>
      </c>
      <c r="B332" s="2">
        <v>42060.0</v>
      </c>
      <c r="C332" s="1">
        <v>246.0</v>
      </c>
      <c r="D332" s="1">
        <v>1647.0</v>
      </c>
      <c r="E332" s="1">
        <v>2.0</v>
      </c>
      <c r="F332" s="1">
        <v>25.0</v>
      </c>
      <c r="G332" s="1" t="s">
        <v>17</v>
      </c>
      <c r="K332" s="3">
        <f t="shared" si="3"/>
        <v>0</v>
      </c>
    </row>
    <row r="333">
      <c r="A333" s="1" t="s">
        <v>21</v>
      </c>
      <c r="B333" s="2">
        <v>42060.0</v>
      </c>
      <c r="C333" s="1">
        <v>1076.0</v>
      </c>
      <c r="D333" s="1">
        <v>9405.0</v>
      </c>
      <c r="E333" s="1">
        <v>2.0</v>
      </c>
      <c r="F333" s="1">
        <v>25.0</v>
      </c>
      <c r="G333" s="1" t="s">
        <v>17</v>
      </c>
      <c r="K333" s="3">
        <f t="shared" si="3"/>
        <v>0</v>
      </c>
    </row>
    <row r="334">
      <c r="A334" s="1" t="s">
        <v>14</v>
      </c>
      <c r="B334" s="2">
        <v>42060.0</v>
      </c>
      <c r="C334" s="1">
        <v>706.0</v>
      </c>
      <c r="D334" s="1">
        <v>6178.0</v>
      </c>
      <c r="E334" s="1">
        <v>2.0</v>
      </c>
      <c r="F334" s="1">
        <v>25.0</v>
      </c>
      <c r="G334" s="1" t="s">
        <v>17</v>
      </c>
      <c r="K334" s="3">
        <f t="shared" si="3"/>
        <v>0</v>
      </c>
    </row>
    <row r="335">
      <c r="A335" s="1" t="s">
        <v>18</v>
      </c>
      <c r="B335" s="2">
        <v>42060.0</v>
      </c>
      <c r="C335" s="1">
        <v>1395.0</v>
      </c>
      <c r="D335" s="1">
        <v>12693.0</v>
      </c>
      <c r="E335" s="1">
        <v>2.0</v>
      </c>
      <c r="F335" s="1">
        <v>25.0</v>
      </c>
      <c r="G335" s="1" t="s">
        <v>17</v>
      </c>
      <c r="K335" s="3">
        <f t="shared" si="3"/>
        <v>0</v>
      </c>
    </row>
    <row r="336">
      <c r="A336" s="1" t="s">
        <v>19</v>
      </c>
      <c r="B336" s="2">
        <v>42060.0</v>
      </c>
      <c r="C336" s="1">
        <v>1473.0</v>
      </c>
      <c r="D336" s="1">
        <v>12811.0</v>
      </c>
      <c r="E336" s="1">
        <v>2.0</v>
      </c>
      <c r="F336" s="1">
        <v>25.0</v>
      </c>
      <c r="G336" s="1" t="s">
        <v>17</v>
      </c>
      <c r="K336" s="3">
        <f t="shared" si="3"/>
        <v>0</v>
      </c>
    </row>
    <row r="337">
      <c r="A337" s="1" t="s">
        <v>16</v>
      </c>
      <c r="B337" s="2">
        <v>42060.0</v>
      </c>
      <c r="C337" s="1">
        <v>3934.0</v>
      </c>
      <c r="D337" s="1">
        <v>31957.0</v>
      </c>
      <c r="E337" s="1">
        <v>2.0</v>
      </c>
      <c r="F337" s="1">
        <v>25.0</v>
      </c>
      <c r="G337" s="1" t="s">
        <v>17</v>
      </c>
      <c r="K337" s="3">
        <f t="shared" si="3"/>
        <v>0</v>
      </c>
    </row>
    <row r="338">
      <c r="A338" s="1" t="s">
        <v>21</v>
      </c>
      <c r="B338" s="2">
        <v>42061.0</v>
      </c>
      <c r="C338" s="1">
        <v>1134.0</v>
      </c>
      <c r="D338" s="1">
        <v>10661.0</v>
      </c>
      <c r="E338" s="1">
        <v>2.0</v>
      </c>
      <c r="F338" s="1">
        <v>26.0</v>
      </c>
      <c r="G338" s="1" t="s">
        <v>12</v>
      </c>
      <c r="K338" s="3">
        <f t="shared" si="3"/>
        <v>0</v>
      </c>
    </row>
    <row r="339">
      <c r="A339" s="1" t="s">
        <v>19</v>
      </c>
      <c r="B339" s="2">
        <v>42061.0</v>
      </c>
      <c r="C339" s="1">
        <v>1539.0</v>
      </c>
      <c r="D339" s="1">
        <v>14461.0</v>
      </c>
      <c r="E339" s="1">
        <v>2.0</v>
      </c>
      <c r="F339" s="1">
        <v>26.0</v>
      </c>
      <c r="G339" s="1" t="s">
        <v>12</v>
      </c>
      <c r="K339" s="3">
        <f t="shared" si="3"/>
        <v>0</v>
      </c>
    </row>
    <row r="340">
      <c r="A340" s="1" t="s">
        <v>18</v>
      </c>
      <c r="B340" s="2">
        <v>42061.0</v>
      </c>
      <c r="C340" s="1">
        <v>1465.0</v>
      </c>
      <c r="D340" s="1">
        <v>13814.0</v>
      </c>
      <c r="E340" s="1">
        <v>2.0</v>
      </c>
      <c r="F340" s="1">
        <v>26.0</v>
      </c>
      <c r="G340" s="1" t="s">
        <v>12</v>
      </c>
      <c r="K340" s="3">
        <f t="shared" si="3"/>
        <v>0</v>
      </c>
    </row>
    <row r="341">
      <c r="A341" s="1" t="s">
        <v>11</v>
      </c>
      <c r="B341" s="2">
        <v>42061.0</v>
      </c>
      <c r="C341" s="1">
        <v>243.0</v>
      </c>
      <c r="D341" s="1">
        <v>1797.0</v>
      </c>
      <c r="E341" s="1">
        <v>2.0</v>
      </c>
      <c r="F341" s="1">
        <v>26.0</v>
      </c>
      <c r="G341" s="1" t="s">
        <v>12</v>
      </c>
      <c r="K341" s="3">
        <f t="shared" si="3"/>
        <v>0</v>
      </c>
    </row>
    <row r="342">
      <c r="A342" s="1" t="s">
        <v>14</v>
      </c>
      <c r="B342" s="2">
        <v>42061.0</v>
      </c>
      <c r="C342" s="1">
        <v>745.0</v>
      </c>
      <c r="D342" s="1">
        <v>6744.0</v>
      </c>
      <c r="E342" s="1">
        <v>2.0</v>
      </c>
      <c r="F342" s="1">
        <v>26.0</v>
      </c>
      <c r="G342" s="1" t="s">
        <v>12</v>
      </c>
      <c r="K342" s="3">
        <f t="shared" si="3"/>
        <v>0</v>
      </c>
    </row>
    <row r="343">
      <c r="A343" s="1" t="s">
        <v>16</v>
      </c>
      <c r="B343" s="2">
        <v>42061.0</v>
      </c>
      <c r="C343" s="1">
        <v>4101.0</v>
      </c>
      <c r="D343" s="1">
        <v>36091.0</v>
      </c>
      <c r="E343" s="1">
        <v>2.0</v>
      </c>
      <c r="F343" s="1">
        <v>26.0</v>
      </c>
      <c r="G343" s="1" t="s">
        <v>12</v>
      </c>
      <c r="K343" s="3">
        <f t="shared" si="3"/>
        <v>0</v>
      </c>
    </row>
    <row r="344">
      <c r="A344" s="1" t="s">
        <v>14</v>
      </c>
      <c r="B344" s="2">
        <v>42062.0</v>
      </c>
      <c r="C344" s="1">
        <v>786.0</v>
      </c>
      <c r="D344" s="1">
        <v>7563.0</v>
      </c>
      <c r="E344" s="1">
        <v>2.0</v>
      </c>
      <c r="F344" s="1">
        <v>27.0</v>
      </c>
      <c r="G344" s="1" t="s">
        <v>20</v>
      </c>
      <c r="K344" s="3">
        <f t="shared" si="3"/>
        <v>0</v>
      </c>
    </row>
    <row r="345">
      <c r="A345" s="1" t="s">
        <v>19</v>
      </c>
      <c r="B345" s="2">
        <v>42062.0</v>
      </c>
      <c r="C345" s="1">
        <v>1551.0</v>
      </c>
      <c r="D345" s="1">
        <v>14677.0</v>
      </c>
      <c r="E345" s="1">
        <v>2.0</v>
      </c>
      <c r="F345" s="1">
        <v>27.0</v>
      </c>
      <c r="G345" s="1" t="s">
        <v>20</v>
      </c>
      <c r="K345" s="3">
        <f t="shared" si="3"/>
        <v>0</v>
      </c>
    </row>
    <row r="346">
      <c r="A346" s="1" t="s">
        <v>21</v>
      </c>
      <c r="B346" s="2">
        <v>42062.0</v>
      </c>
      <c r="C346" s="1">
        <v>1114.0</v>
      </c>
      <c r="D346" s="1">
        <v>10755.0</v>
      </c>
      <c r="E346" s="1">
        <v>2.0</v>
      </c>
      <c r="F346" s="1">
        <v>27.0</v>
      </c>
      <c r="G346" s="1" t="s">
        <v>20</v>
      </c>
      <c r="K346" s="3">
        <f t="shared" si="3"/>
        <v>0</v>
      </c>
    </row>
    <row r="347">
      <c r="A347" s="1" t="s">
        <v>11</v>
      </c>
      <c r="B347" s="2">
        <v>42062.0</v>
      </c>
      <c r="C347" s="1">
        <v>272.0</v>
      </c>
      <c r="D347" s="1">
        <v>2056.0</v>
      </c>
      <c r="E347" s="1">
        <v>2.0</v>
      </c>
      <c r="F347" s="1">
        <v>27.0</v>
      </c>
      <c r="G347" s="1" t="s">
        <v>20</v>
      </c>
      <c r="K347" s="3">
        <f t="shared" si="3"/>
        <v>0</v>
      </c>
    </row>
    <row r="348">
      <c r="A348" s="1" t="s">
        <v>16</v>
      </c>
      <c r="B348" s="2">
        <v>42062.0</v>
      </c>
      <c r="C348" s="1">
        <v>4253.0</v>
      </c>
      <c r="D348" s="1">
        <v>38780.0</v>
      </c>
      <c r="E348" s="1">
        <v>2.0</v>
      </c>
      <c r="F348" s="1">
        <v>27.0</v>
      </c>
      <c r="G348" s="1" t="s">
        <v>20</v>
      </c>
      <c r="K348" s="3">
        <f t="shared" si="3"/>
        <v>0</v>
      </c>
    </row>
    <row r="349">
      <c r="A349" s="1" t="s">
        <v>18</v>
      </c>
      <c r="B349" s="2">
        <v>42062.0</v>
      </c>
      <c r="C349" s="1">
        <v>1510.0</v>
      </c>
      <c r="D349" s="1">
        <v>14975.0</v>
      </c>
      <c r="E349" s="1">
        <v>2.0</v>
      </c>
      <c r="F349" s="1">
        <v>27.0</v>
      </c>
      <c r="G349" s="1" t="s">
        <v>20</v>
      </c>
      <c r="K349" s="3">
        <f t="shared" si="3"/>
        <v>0</v>
      </c>
    </row>
    <row r="350">
      <c r="A350" s="1" t="s">
        <v>21</v>
      </c>
      <c r="B350" s="2">
        <v>42063.0</v>
      </c>
      <c r="C350" s="1">
        <v>994.0</v>
      </c>
      <c r="D350" s="1">
        <v>10319.0</v>
      </c>
      <c r="E350" s="1">
        <v>2.0</v>
      </c>
      <c r="F350" s="1">
        <v>28.0</v>
      </c>
      <c r="G350" s="1" t="s">
        <v>22</v>
      </c>
      <c r="K350" s="3">
        <f t="shared" si="3"/>
        <v>0</v>
      </c>
    </row>
    <row r="351">
      <c r="A351" s="1" t="s">
        <v>16</v>
      </c>
      <c r="B351" s="2">
        <v>42063.0</v>
      </c>
      <c r="C351" s="1">
        <v>3952.0</v>
      </c>
      <c r="D351" s="1">
        <v>39812.0</v>
      </c>
      <c r="E351" s="1">
        <v>2.0</v>
      </c>
      <c r="F351" s="1">
        <v>28.0</v>
      </c>
      <c r="G351" s="1" t="s">
        <v>22</v>
      </c>
      <c r="K351" s="3">
        <f t="shared" si="3"/>
        <v>0</v>
      </c>
    </row>
    <row r="352">
      <c r="A352" s="1" t="s">
        <v>19</v>
      </c>
      <c r="B352" s="2">
        <v>42063.0</v>
      </c>
      <c r="C352" s="1">
        <v>1372.0</v>
      </c>
      <c r="D352" s="1">
        <v>14022.0</v>
      </c>
      <c r="E352" s="1">
        <v>2.0</v>
      </c>
      <c r="F352" s="1">
        <v>28.0</v>
      </c>
      <c r="G352" s="1" t="s">
        <v>22</v>
      </c>
      <c r="K352" s="3">
        <f t="shared" si="3"/>
        <v>0</v>
      </c>
    </row>
    <row r="353">
      <c r="A353" s="1" t="s">
        <v>18</v>
      </c>
      <c r="B353" s="2">
        <v>42063.0</v>
      </c>
      <c r="C353" s="1">
        <v>1386.0</v>
      </c>
      <c r="D353" s="1">
        <v>14472.0</v>
      </c>
      <c r="E353" s="1">
        <v>2.0</v>
      </c>
      <c r="F353" s="1">
        <v>28.0</v>
      </c>
      <c r="G353" s="1" t="s">
        <v>22</v>
      </c>
      <c r="K353" s="3">
        <f t="shared" si="3"/>
        <v>0</v>
      </c>
    </row>
    <row r="354">
      <c r="A354" s="1" t="s">
        <v>11</v>
      </c>
      <c r="B354" s="2">
        <v>42063.0</v>
      </c>
      <c r="C354" s="1">
        <v>230.0</v>
      </c>
      <c r="D354" s="1">
        <v>1803.0</v>
      </c>
      <c r="E354" s="1">
        <v>2.0</v>
      </c>
      <c r="F354" s="1">
        <v>28.0</v>
      </c>
      <c r="G354" s="1" t="s">
        <v>22</v>
      </c>
      <c r="K354" s="3">
        <f t="shared" si="3"/>
        <v>0</v>
      </c>
    </row>
    <row r="355">
      <c r="A355" s="1" t="s">
        <v>14</v>
      </c>
      <c r="B355" s="2">
        <v>42063.0</v>
      </c>
      <c r="C355" s="1">
        <v>747.0</v>
      </c>
      <c r="D355" s="1">
        <v>7753.0</v>
      </c>
      <c r="E355" s="1">
        <v>2.0</v>
      </c>
      <c r="F355" s="1">
        <v>28.0</v>
      </c>
      <c r="G355" s="1" t="s">
        <v>22</v>
      </c>
    </row>
  </sheetData>
  <customSheetViews>
    <customSheetView guid="{CA76CACB-BAA2-415E-9D46-FA572FB19DDD}" filter="1" showAutoFilter="1">
      <autoFilter ref="$A$1:$G$355"/>
    </customSheetView>
  </customSheetView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F1" s="4" t="s">
        <v>24</v>
      </c>
      <c r="G1" s="5"/>
      <c r="H1" s="5"/>
      <c r="I1" s="5"/>
      <c r="J1" s="5"/>
    </row>
    <row r="6">
      <c r="B6" s="6" t="s">
        <v>8</v>
      </c>
      <c r="C6" s="6" t="s">
        <v>25</v>
      </c>
      <c r="D6" s="7" t="s">
        <v>26</v>
      </c>
      <c r="E6" s="8"/>
    </row>
    <row r="7">
      <c r="B7" s="9">
        <f>SUM(uber_cleaned_data!D:D)</f>
        <v>4130230</v>
      </c>
      <c r="C7" s="10">
        <f t="array" ref="C7">INDEX(uber_cleaned_data!B:B, MATCH(MAX(uber_cleaned_data!D:D),uber_cleaned_data!D:D, 0))</f>
        <v>42049</v>
      </c>
      <c r="D7" s="11">
        <f>MAX(uber_cleaned_data!D:D)</f>
        <v>45858</v>
      </c>
      <c r="E7" s="12"/>
    </row>
    <row r="9">
      <c r="B9" s="13" t="s">
        <v>27</v>
      </c>
      <c r="C9" s="14"/>
      <c r="D9" s="13" t="s">
        <v>28</v>
      </c>
      <c r="E9" s="14"/>
    </row>
    <row r="10">
      <c r="B10" s="15">
        <f t="array" ref="B10">INDEX(uber_cleaned_data!B:B, MATCH(MIN(uber_cleaned_data!D:D),uber_cleaned_data!D:D, 0))</f>
        <v>42031</v>
      </c>
      <c r="C10" s="12"/>
      <c r="D10" s="16">
        <f>MIN(uber_cleaned_data!D:D)</f>
        <v>629</v>
      </c>
      <c r="E10" s="12"/>
    </row>
    <row r="12">
      <c r="B12" s="13" t="s">
        <v>29</v>
      </c>
      <c r="C12" s="17"/>
      <c r="D12" s="13" t="s">
        <v>30</v>
      </c>
      <c r="E12" s="14"/>
    </row>
    <row r="13">
      <c r="B13" s="16" t="str">
        <f t="array" ref="B13">INDEX(uber_cleaned_data!G:G, MATCH(MAX(uber_cleaned_data!D:D), uber_cleaned_data!D:D, 0))</f>
        <v>Saturday</v>
      </c>
      <c r="C13" s="12"/>
      <c r="D13" s="16">
        <f>MAX(uber_cleaned_data!N:N)</f>
        <v>751325</v>
      </c>
      <c r="E13" s="12"/>
    </row>
    <row r="15">
      <c r="B15" s="13" t="s">
        <v>31</v>
      </c>
      <c r="C15" s="14"/>
      <c r="D15" s="13" t="s">
        <v>32</v>
      </c>
      <c r="E15" s="18"/>
      <c r="F15" s="17"/>
    </row>
    <row r="16">
      <c r="B16" s="16" t="str">
        <f t="array" ref="B16">INDEX(uber_cleaned_data!M:M, MATCH(MIN(uber_cleaned_data!N:N), uber_cleaned_data!N:N, 0))</f>
        <v>Monday</v>
      </c>
      <c r="C16" s="12"/>
      <c r="D16" s="16">
        <f>MIN(uber_cleaned_data!N:N)</f>
        <v>463799</v>
      </c>
      <c r="E16" s="19"/>
      <c r="F16" s="12"/>
    </row>
  </sheetData>
  <drawing r:id="rId1"/>
  <extLst>
    <ext uri="{3A4CF648-6AED-40f4-86FF-DC5316D8AED3}">
      <x14:slicerList>
        <x14:slicer r:id="rId2"/>
      </x14:slicerList>
    </ext>
  </extLst>
</worksheet>
</file>